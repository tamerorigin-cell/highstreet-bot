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Units_Data" sheetId="2" r:id="rId5"/>
  </sheets>
  <definedNames>
    <definedName hidden="1" localSheetId="1" name="_xlnm._FilterDatabase">Units_Data!$A$2:$N$131</definedName>
  </definedNames>
  <calcPr/>
  <extLst>
    <ext uri="GoogleSheetsCustomDataVersion2">
      <go:sheetsCustomData xmlns:go="http://customooxmlschemas.google.com/" r:id="rId6" roundtripDataChecksum="Meo9QauAcGQBhtDkIdB/U/4NxnIxeGnURoOGK6NEFj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======
ID#AAAB6ykEY7Q
tc={3540e9b3-794b-4bed-b426-9151c52b99a0}    (2026-05-20 13:06:57)
[Threaded comment]
Your version of Excel allows you to read this threaded comment; however, any edits to it will get removed if the file is opened in a newer version of Excel. Learn more: https://go.microsoft.com/fwlink/?linkid=870924
Comment:
    Hello</t>
      </text>
    </comment>
  </commentList>
  <extLst>
    <ext uri="GoogleSheetsCustomDataVersion2">
      <go:sheetsCustomData xmlns:go="http://customooxmlschemas.google.com/" r:id="rId1" roundtripDataSignature="AMtx7miK+MaQHtFz4KABJOqOTHFgQr0idQ=="/>
    </ext>
  </extLst>
</comments>
</file>

<file path=xl/sharedStrings.xml><?xml version="1.0" encoding="utf-8"?>
<sst xmlns="http://schemas.openxmlformats.org/spreadsheetml/2006/main" count="346" uniqueCount="153">
  <si>
    <t>Lookup 1</t>
  </si>
  <si>
    <t xml:space="preserve"> Select Unit No.</t>
  </si>
  <si>
    <t>B1-GF-37</t>
  </si>
  <si>
    <t>Unit Type</t>
  </si>
  <si>
    <t>Floor</t>
  </si>
  <si>
    <t>INDOOR Area (m²)</t>
  </si>
  <si>
    <t>OUTDOOR AREA ( m2)</t>
  </si>
  <si>
    <t>Total UNIT Price</t>
  </si>
  <si>
    <t>Status</t>
  </si>
  <si>
    <t>Notes</t>
  </si>
  <si>
    <t>DISCOUNT PERCENTAGE</t>
  </si>
  <si>
    <t>TOTAL AFTER DISCOUNT</t>
  </si>
  <si>
    <t>Units Database</t>
  </si>
  <si>
    <t>Unit No.</t>
  </si>
  <si>
    <t>Original Price/m²</t>
  </si>
  <si>
    <t>Original INDOOR Total Price</t>
  </si>
  <si>
    <t>OUTDOOR AREA</t>
  </si>
  <si>
    <t>ORIGINAL PRICE / m²</t>
  </si>
  <si>
    <t>ORIGINAL OUTDOOR TOTAL PRICE</t>
  </si>
  <si>
    <t>TOTAL UNIT PRICE</t>
  </si>
  <si>
    <t>Actual Price/m²</t>
  </si>
  <si>
    <t>Actual Total Price</t>
  </si>
  <si>
    <t>B1-GF-01</t>
  </si>
  <si>
    <t>Luxury Fashion</t>
  </si>
  <si>
    <t>Ground</t>
  </si>
  <si>
    <t>Negotiated</t>
  </si>
  <si>
    <t>Sample</t>
  </si>
  <si>
    <t>B1-GF-02</t>
  </si>
  <si>
    <t>Available</t>
  </si>
  <si>
    <t>B1-GF-03</t>
  </si>
  <si>
    <t>B1-GF-04</t>
  </si>
  <si>
    <t>Reserved</t>
  </si>
  <si>
    <t>B1-GF-05</t>
  </si>
  <si>
    <t>B1-GF-06</t>
  </si>
  <si>
    <t>B1-GF-07</t>
  </si>
  <si>
    <t>B1-GF-08</t>
  </si>
  <si>
    <t>B1-GF-09</t>
  </si>
  <si>
    <t>B1-GF-10</t>
  </si>
  <si>
    <t>B1-GF-11</t>
  </si>
  <si>
    <t xml:space="preserve">F&amp;B </t>
  </si>
  <si>
    <t>B1-GF-12</t>
  </si>
  <si>
    <t>B1-GF-13</t>
  </si>
  <si>
    <t>B1-GF-14</t>
  </si>
  <si>
    <t>Storage</t>
  </si>
  <si>
    <t>B1-GF-15</t>
  </si>
  <si>
    <t>B1-GF-16</t>
  </si>
  <si>
    <t>B1-GF-17</t>
  </si>
  <si>
    <t>B1-GF-18</t>
  </si>
  <si>
    <t>B1-GF-19</t>
  </si>
  <si>
    <t>B1-GF-20</t>
  </si>
  <si>
    <t>B1-GF-21</t>
  </si>
  <si>
    <t>B1-GF-22</t>
  </si>
  <si>
    <t>KIOSK</t>
  </si>
  <si>
    <t>B1-GF-23</t>
  </si>
  <si>
    <t>B1-GF-24</t>
  </si>
  <si>
    <t>B1-GF-25</t>
  </si>
  <si>
    <t>B1-GF-26</t>
  </si>
  <si>
    <t>B1-GF-27</t>
  </si>
  <si>
    <t>B1-GF-28</t>
  </si>
  <si>
    <t>Supermarket</t>
  </si>
  <si>
    <t>B1-GF-29</t>
  </si>
  <si>
    <t>B1-GF-30</t>
  </si>
  <si>
    <t>B1-GF-31</t>
  </si>
  <si>
    <t>B1-GF-32</t>
  </si>
  <si>
    <t>B1-GF-33</t>
  </si>
  <si>
    <t>B1-GF-34</t>
  </si>
  <si>
    <t>B1-GF-35</t>
  </si>
  <si>
    <t>F&amp;B</t>
  </si>
  <si>
    <t>موجره</t>
  </si>
  <si>
    <t>CHECK MEP</t>
  </si>
  <si>
    <t>B1-GF-36</t>
  </si>
  <si>
    <t>B1-GF-38</t>
  </si>
  <si>
    <t>B1-GF-39</t>
  </si>
  <si>
    <t xml:space="preserve">Kids Entertainment </t>
  </si>
  <si>
    <t>B1-GF-40</t>
  </si>
  <si>
    <t>B1-GF-41</t>
  </si>
  <si>
    <t>Sephora</t>
  </si>
  <si>
    <t>B2-GF-01</t>
  </si>
  <si>
    <t>B2-GF-02</t>
  </si>
  <si>
    <t>B2-GF-03</t>
  </si>
  <si>
    <t>Huqqabaz</t>
  </si>
  <si>
    <t>B2-GF-04</t>
  </si>
  <si>
    <t>B2-GF-05</t>
  </si>
  <si>
    <t>B2-GF-06</t>
  </si>
  <si>
    <t>Service</t>
  </si>
  <si>
    <t>B2-GF-07</t>
  </si>
  <si>
    <t>B2-GF-08</t>
  </si>
  <si>
    <t>B2-GF-09</t>
  </si>
  <si>
    <t>Jewelry/ Accessories</t>
  </si>
  <si>
    <t>B2-GF-10</t>
  </si>
  <si>
    <t xml:space="preserve">Automotive </t>
  </si>
  <si>
    <t>B2-GF-11</t>
  </si>
  <si>
    <t>B2-GF-12</t>
  </si>
  <si>
    <t>B2-GF-13</t>
  </si>
  <si>
    <t>B2-GF-14</t>
  </si>
  <si>
    <t>B2-GF-15</t>
  </si>
  <si>
    <t>B2-GF-16</t>
  </si>
  <si>
    <t>B2-GF-17</t>
  </si>
  <si>
    <t>B2-GF-18</t>
  </si>
  <si>
    <t>B2-GF-19</t>
  </si>
  <si>
    <t>S1-GF-01</t>
  </si>
  <si>
    <t>S1-GF-02</t>
  </si>
  <si>
    <t>S1-GF-03</t>
  </si>
  <si>
    <t>B1-FF-01</t>
  </si>
  <si>
    <t>First Floor</t>
  </si>
  <si>
    <t>B1-FF-02</t>
  </si>
  <si>
    <t>B1-FF-03</t>
  </si>
  <si>
    <t>B1-FF-04</t>
  </si>
  <si>
    <t>B1-FF-05</t>
  </si>
  <si>
    <t>B1-FF-06</t>
  </si>
  <si>
    <t xml:space="preserve">B1-FF-07 </t>
  </si>
  <si>
    <t>B1-FF-08</t>
  </si>
  <si>
    <t>B1-FF-09</t>
  </si>
  <si>
    <t>B1-FF-10</t>
  </si>
  <si>
    <t>B1-FF-11</t>
  </si>
  <si>
    <t>B1-FF-12</t>
  </si>
  <si>
    <t>B1-FF-13</t>
  </si>
  <si>
    <t>B1-FF-14</t>
  </si>
  <si>
    <t>B1-FF-15</t>
  </si>
  <si>
    <t>B1-FF-16</t>
  </si>
  <si>
    <t>B1-FF-17</t>
  </si>
  <si>
    <t>B1-FF-18</t>
  </si>
  <si>
    <t>B1-FF-19</t>
  </si>
  <si>
    <t>B2-FF-01</t>
  </si>
  <si>
    <t>B2-FF-02</t>
  </si>
  <si>
    <t xml:space="preserve">Women's Corner </t>
  </si>
  <si>
    <t>B2-FF-03</t>
  </si>
  <si>
    <t>B2-FF-04</t>
  </si>
  <si>
    <t>B2-FF-05</t>
  </si>
  <si>
    <t>B2-FF-06</t>
  </si>
  <si>
    <t>Admin/Service</t>
  </si>
  <si>
    <t>B2-FF-07</t>
  </si>
  <si>
    <t>B2-FF-08</t>
  </si>
  <si>
    <t>B2-FF-09</t>
  </si>
  <si>
    <t>B2-FF-10</t>
  </si>
  <si>
    <t xml:space="preserve">Admin </t>
  </si>
  <si>
    <t>B2-FF-11</t>
  </si>
  <si>
    <t>Admin</t>
  </si>
  <si>
    <t>B2-FF-12</t>
  </si>
  <si>
    <t>B2-FF-13</t>
  </si>
  <si>
    <t>B2-FF-14</t>
  </si>
  <si>
    <t>B2-FF-15</t>
  </si>
  <si>
    <t>B2-FF-16</t>
  </si>
  <si>
    <t>B2-FF-17</t>
  </si>
  <si>
    <t>B2-FF-18</t>
  </si>
  <si>
    <t>B2-FF-19</t>
  </si>
  <si>
    <t>B2-FF-20</t>
  </si>
  <si>
    <t>Admin/Clinic</t>
  </si>
  <si>
    <t>S1-FF-01</t>
  </si>
  <si>
    <t>S1-FF-02</t>
  </si>
  <si>
    <t>S1-FF-03</t>
  </si>
  <si>
    <t>Totals</t>
  </si>
  <si>
    <t>Average Price/m²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</si>
</sst>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_(* #,##0.00_);_(* \(#,##0.00\);_(* &quot;-&quot;??_);_(@_)"/>
    <numFmt numFmtId="166" formatCode="0.0"/>
    <numFmt numFmtId="167" formatCode="_(* #,##0_);_(* \(#,##0\);_(* &quot;-&quot;??_);_(@_)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sz val="11.0"/>
      <color rgb="FF0000FF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11.0"/>
      <color rgb="FF434343"/>
      <name val="Calibri"/>
    </font>
    <font>
      <sz val="11.0"/>
      <color theme="0"/>
      <name val="Calibri"/>
    </font>
    <font>
      <sz val="12.0"/>
      <color rgb="FF434343"/>
      <name val="Century Gothic"/>
    </font>
    <font>
      <sz val="11.0"/>
      <color rgb="FF434343"/>
      <name val="Century Gothic"/>
    </font>
    <font>
      <b/>
      <sz val="12.0"/>
      <color theme="1"/>
      <name val="Century Gothic"/>
    </font>
    <font>
      <sz val="11.0"/>
      <color theme="1"/>
      <name val="Century Gothic"/>
    </font>
    <font>
      <b/>
      <sz val="12.0"/>
      <color rgb="FFFF0000"/>
      <name val="Century Gothic"/>
    </font>
    <font>
      <sz val="12.0"/>
      <color theme="1"/>
      <name val="Century Gothic"/>
    </font>
    <font>
      <b/>
      <sz val="11.0"/>
      <color rgb="FF434343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vertical="center"/>
    </xf>
    <xf borderId="4" fillId="4" fontId="5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vertical="center"/>
    </xf>
    <xf borderId="4" fillId="0" fontId="6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0" fontId="6" numFmtId="4" xfId="0" applyAlignment="1" applyBorder="1" applyFont="1" applyNumberFormat="1">
      <alignment horizontal="center" vertical="center"/>
    </xf>
    <xf borderId="4" fillId="0" fontId="6" numFmtId="10" xfId="0" applyAlignment="1" applyBorder="1" applyFont="1" applyNumberFormat="1">
      <alignment horizontal="center" vertical="center"/>
    </xf>
    <xf borderId="4" fillId="0" fontId="7" numFmtId="165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5" fillId="5" fontId="8" numFmtId="0" xfId="0" applyAlignment="1" applyBorder="1" applyFill="1" applyFont="1">
      <alignment vertical="center"/>
    </xf>
    <xf borderId="6" fillId="0" fontId="3" numFmtId="0" xfId="0" applyBorder="1" applyFont="1"/>
    <xf borderId="7" fillId="0" fontId="3" numFmtId="0" xfId="0" applyBorder="1" applyFont="1"/>
    <xf borderId="0" fillId="0" fontId="9" numFmtId="0" xfId="0" applyFont="1"/>
    <xf borderId="8" fillId="5" fontId="8" numFmtId="0" xfId="0" applyAlignment="1" applyBorder="1" applyFont="1">
      <alignment vertical="center"/>
    </xf>
    <xf borderId="9" fillId="5" fontId="10" numFmtId="0" xfId="0" applyAlignment="1" applyBorder="1" applyFont="1">
      <alignment horizontal="center"/>
    </xf>
    <xf borderId="10" fillId="5" fontId="8" numFmtId="0" xfId="0" applyAlignment="1" applyBorder="1" applyFont="1">
      <alignment vertical="center"/>
    </xf>
    <xf borderId="10" fillId="5" fontId="10" numFmtId="166" xfId="0" applyAlignment="1" applyBorder="1" applyFont="1" applyNumberFormat="1">
      <alignment horizontal="center" readingOrder="0" vertical="center"/>
    </xf>
    <xf borderId="10" fillId="5" fontId="11" numFmtId="167" xfId="0" applyBorder="1" applyFont="1" applyNumberFormat="1"/>
    <xf borderId="10" fillId="5" fontId="8" numFmtId="4" xfId="0" applyAlignment="1" applyBorder="1" applyFont="1" applyNumberFormat="1">
      <alignment vertical="center"/>
    </xf>
    <xf borderId="10" fillId="5" fontId="10" numFmtId="166" xfId="0" applyAlignment="1" applyBorder="1" applyFont="1" applyNumberFormat="1">
      <alignment horizontal="center" vertical="center"/>
    </xf>
    <xf borderId="10" fillId="5" fontId="8" numFmtId="4" xfId="0" applyAlignment="1" applyBorder="1" applyFont="1" applyNumberFormat="1">
      <alignment readingOrder="0" vertical="center"/>
    </xf>
    <xf borderId="11" fillId="5" fontId="8" numFmtId="4" xfId="0" applyAlignment="1" applyBorder="1" applyFont="1" applyNumberFormat="1">
      <alignment vertical="center"/>
    </xf>
    <xf borderId="8" fillId="5" fontId="8" numFmtId="4" xfId="0" applyAlignment="1" applyBorder="1" applyFont="1" applyNumberFormat="1">
      <alignment vertical="center"/>
    </xf>
    <xf borderId="12" fillId="5" fontId="10" numFmtId="0" xfId="0" applyAlignment="1" applyBorder="1" applyFont="1">
      <alignment horizontal="center"/>
    </xf>
    <xf borderId="4" fillId="5" fontId="8" numFmtId="0" xfId="0" applyAlignment="1" applyBorder="1" applyFont="1">
      <alignment vertical="center"/>
    </xf>
    <xf borderId="4" fillId="5" fontId="10" numFmtId="166" xfId="0" applyAlignment="1" applyBorder="1" applyFont="1" applyNumberFormat="1">
      <alignment horizontal="center" vertical="center"/>
    </xf>
    <xf borderId="4" fillId="5" fontId="11" numFmtId="167" xfId="0" applyBorder="1" applyFont="1" applyNumberFormat="1"/>
    <xf borderId="4" fillId="5" fontId="8" numFmtId="4" xfId="0" applyAlignment="1" applyBorder="1" applyFont="1" applyNumberFormat="1">
      <alignment vertical="center"/>
    </xf>
    <xf borderId="4" fillId="5" fontId="8" numFmtId="4" xfId="0" applyAlignment="1" applyBorder="1" applyFont="1" applyNumberFormat="1">
      <alignment readingOrder="0" vertical="center"/>
    </xf>
    <xf borderId="13" fillId="5" fontId="8" numFmtId="4" xfId="0" applyAlignment="1" applyBorder="1" applyFont="1" applyNumberFormat="1">
      <alignment vertical="center"/>
    </xf>
    <xf borderId="4" fillId="5" fontId="10" numFmtId="166" xfId="0" applyAlignment="1" applyBorder="1" applyFont="1" applyNumberFormat="1">
      <alignment horizontal="center" readingOrder="0" vertical="center"/>
    </xf>
    <xf borderId="4" fillId="5" fontId="11" numFmtId="167" xfId="0" applyAlignment="1" applyBorder="1" applyFont="1" applyNumberFormat="1">
      <alignment readingOrder="0"/>
    </xf>
    <xf borderId="8" fillId="5" fontId="8" numFmtId="0" xfId="0" applyAlignment="1" applyBorder="1" applyFont="1">
      <alignment readingOrder="0" vertical="center"/>
    </xf>
    <xf borderId="14" fillId="5" fontId="10" numFmtId="0" xfId="0" applyAlignment="1" applyBorder="1" applyFont="1">
      <alignment horizontal="center"/>
    </xf>
    <xf borderId="15" fillId="5" fontId="8" numFmtId="0" xfId="0" applyAlignment="1" applyBorder="1" applyFont="1">
      <alignment vertical="center"/>
    </xf>
    <xf borderId="15" fillId="5" fontId="10" numFmtId="166" xfId="0" applyAlignment="1" applyBorder="1" applyFont="1" applyNumberFormat="1">
      <alignment horizontal="center" vertical="center"/>
    </xf>
    <xf borderId="15" fillId="5" fontId="11" numFmtId="167" xfId="0" applyBorder="1" applyFont="1" applyNumberFormat="1"/>
    <xf borderId="15" fillId="5" fontId="8" numFmtId="4" xfId="0" applyAlignment="1" applyBorder="1" applyFont="1" applyNumberFormat="1">
      <alignment vertical="center"/>
    </xf>
    <xf borderId="16" fillId="5" fontId="8" numFmtId="4" xfId="0" applyAlignment="1" applyBorder="1" applyFont="1" applyNumberFormat="1">
      <alignment vertical="center"/>
    </xf>
    <xf borderId="8" fillId="5" fontId="10" numFmtId="0" xfId="0" applyAlignment="1" applyBorder="1" applyFont="1">
      <alignment horizontal="center"/>
    </xf>
    <xf borderId="8" fillId="5" fontId="10" numFmtId="166" xfId="0" applyAlignment="1" applyBorder="1" applyFont="1" applyNumberFormat="1">
      <alignment horizontal="center" vertical="center"/>
    </xf>
    <xf borderId="8" fillId="5" fontId="11" numFmtId="167" xfId="0" applyBorder="1" applyFont="1" applyNumberFormat="1"/>
    <xf borderId="9" fillId="0" fontId="12" numFmtId="0" xfId="0" applyAlignment="1" applyBorder="1" applyFont="1">
      <alignment horizontal="center"/>
    </xf>
    <xf borderId="10" fillId="0" fontId="1" numFmtId="167" xfId="0" applyBorder="1" applyFont="1" applyNumberFormat="1"/>
    <xf borderId="10" fillId="0" fontId="13" numFmtId="0" xfId="0" applyBorder="1" applyFont="1"/>
    <xf borderId="12" fillId="0" fontId="12" numFmtId="0" xfId="0" applyAlignment="1" applyBorder="1" applyFont="1">
      <alignment horizontal="center"/>
    </xf>
    <xf borderId="4" fillId="0" fontId="1" numFmtId="167" xfId="0" applyBorder="1" applyFont="1" applyNumberFormat="1"/>
    <xf borderId="4" fillId="0" fontId="13" numFmtId="0" xfId="0" applyBorder="1" applyFont="1"/>
    <xf borderId="12" fillId="0" fontId="14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15" fillId="0" fontId="1" numFmtId="167" xfId="0" applyBorder="1" applyFont="1" applyNumberFormat="1"/>
    <xf borderId="15" fillId="0" fontId="13" numFmtId="0" xfId="0" applyBorder="1" applyFont="1"/>
    <xf borderId="10" fillId="0" fontId="15" numFmtId="166" xfId="0" applyAlignment="1" applyBorder="1" applyFont="1" applyNumberFormat="1">
      <alignment horizontal="center" vertical="center"/>
    </xf>
    <xf borderId="4" fillId="0" fontId="15" numFmtId="166" xfId="0" applyAlignment="1" applyBorder="1" applyFont="1" applyNumberFormat="1">
      <alignment horizontal="center" vertical="center"/>
    </xf>
    <xf borderId="12" fillId="6" fontId="12" numFmtId="0" xfId="0" applyAlignment="1" applyBorder="1" applyFill="1" applyFont="1">
      <alignment horizontal="center"/>
    </xf>
    <xf borderId="4" fillId="6" fontId="8" numFmtId="0" xfId="0" applyAlignment="1" applyBorder="1" applyFont="1">
      <alignment vertical="center"/>
    </xf>
    <xf borderId="4" fillId="6" fontId="15" numFmtId="166" xfId="0" applyAlignment="1" applyBorder="1" applyFont="1" applyNumberFormat="1">
      <alignment horizontal="center" vertical="center"/>
    </xf>
    <xf borderId="4" fillId="6" fontId="1" numFmtId="167" xfId="0" applyBorder="1" applyFont="1" applyNumberFormat="1"/>
    <xf borderId="4" fillId="6" fontId="8" numFmtId="4" xfId="0" applyAlignment="1" applyBorder="1" applyFont="1" applyNumberFormat="1">
      <alignment vertical="center"/>
    </xf>
    <xf borderId="4" fillId="6" fontId="10" numFmtId="166" xfId="0" applyAlignment="1" applyBorder="1" applyFont="1" applyNumberFormat="1">
      <alignment horizontal="center" vertical="center"/>
    </xf>
    <xf borderId="13" fillId="6" fontId="8" numFmtId="4" xfId="0" applyAlignment="1" applyBorder="1" applyFont="1" applyNumberFormat="1">
      <alignment vertical="center"/>
    </xf>
    <xf borderId="15" fillId="0" fontId="15" numFmtId="166" xfId="0" applyAlignment="1" applyBorder="1" applyFont="1" applyNumberFormat="1">
      <alignment horizontal="center" vertical="center"/>
    </xf>
    <xf borderId="8" fillId="5" fontId="16" numFmtId="4" xfId="0" applyAlignment="1" applyBorder="1" applyFont="1" applyNumberFormat="1">
      <alignment vertical="center"/>
    </xf>
    <xf borderId="8" fillId="5" fontId="8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0.0"/>
    <col customWidth="1" hidden="1" min="3" max="3" width="24.0"/>
    <col customWidth="1" hidden="1" min="4" max="4" width="13.43"/>
    <col customWidth="1" min="5" max="8" width="4.0"/>
    <col customWidth="1" min="9" max="10" width="8.71"/>
    <col customWidth="1" hidden="1" min="11" max="11" width="14.0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 t="str">
        <f>Units_Data!A12</f>
        <v>B1-GF-10</v>
      </c>
    </row>
    <row r="2">
      <c r="A2" s="3" t="s">
        <v>0</v>
      </c>
      <c r="B2" s="4"/>
      <c r="C2" s="4"/>
      <c r="D2" s="5"/>
      <c r="E2" s="1"/>
      <c r="F2" s="1"/>
      <c r="G2" s="1"/>
      <c r="H2" s="1"/>
      <c r="I2" s="1"/>
      <c r="J2" s="1"/>
      <c r="K2" s="1" t="str">
        <f>Units_Data!A13</f>
        <v>B1-GF-11</v>
      </c>
    </row>
    <row r="3">
      <c r="A3" s="6" t="s">
        <v>1</v>
      </c>
      <c r="B3" s="7" t="s">
        <v>2</v>
      </c>
      <c r="C3" s="8"/>
      <c r="D3" s="8"/>
      <c r="E3" s="1"/>
      <c r="F3" s="1"/>
      <c r="G3" s="1"/>
      <c r="H3" s="1"/>
      <c r="I3" s="1"/>
      <c r="J3" s="1"/>
      <c r="K3" s="1" t="str">
        <f>Units_Data!A14</f>
        <v>B1-GF-12</v>
      </c>
    </row>
    <row r="4">
      <c r="A4" s="6" t="s">
        <v>3</v>
      </c>
      <c r="B4" s="9" t="str">
        <f t="array" ref="B4">IFERROR(INDEX(Units_Data!B$3:B$65,MATCH(B3,Units_Data!$A$3:$A$65,0)),"")</f>
        <v>F&amp;B</v>
      </c>
      <c r="C4" s="8"/>
      <c r="D4" s="8"/>
      <c r="E4" s="1"/>
      <c r="F4" s="1"/>
      <c r="G4" s="1"/>
      <c r="H4" s="1"/>
      <c r="I4" s="1"/>
      <c r="J4" s="1"/>
      <c r="K4" s="1" t="str">
        <f>Units_Data!A15</f>
        <v>B1-GF-13</v>
      </c>
    </row>
    <row r="5">
      <c r="A5" s="6" t="s">
        <v>4</v>
      </c>
      <c r="B5" s="9" t="str">
        <f t="array" ref="B5">IFERROR(INDEX(Units_Data!C$3:C$65,MATCH(B3,Units_Data!$A$3:$A$65,0)),"")</f>
        <v>Ground</v>
      </c>
      <c r="C5" s="8"/>
      <c r="D5" s="8"/>
      <c r="E5" s="1"/>
      <c r="F5" s="1"/>
      <c r="G5" s="1"/>
      <c r="H5" s="1"/>
      <c r="I5" s="1"/>
      <c r="J5" s="1"/>
      <c r="K5" s="1" t="str">
        <f>Units_Data!A16</f>
        <v>B1-GF-14</v>
      </c>
    </row>
    <row r="6">
      <c r="A6" s="6" t="s">
        <v>5</v>
      </c>
      <c r="B6" s="10">
        <f t="array" ref="B6">IFERROR(INDEX(Units_Data!D$3:D$65,MATCH(B3,Units_Data!$A$3:$A$65,0)),"")</f>
        <v>281.6275</v>
      </c>
      <c r="C6" s="8"/>
      <c r="D6" s="8"/>
      <c r="E6" s="1"/>
      <c r="F6" s="1"/>
      <c r="G6" s="1"/>
      <c r="H6" s="1"/>
      <c r="I6" s="1"/>
      <c r="J6" s="1"/>
      <c r="K6" s="1" t="str">
        <f>Units_Data!A17</f>
        <v>B1-GF-15</v>
      </c>
    </row>
    <row r="7">
      <c r="A7" s="6" t="s">
        <v>6</v>
      </c>
      <c r="B7" s="10">
        <f t="array" ref="B7">IFERROR(INDEX(Units_Data!G$3:G$65,MATCH(B3,Units_Data!$A$3:$A$65,0)),"")</f>
        <v>244.1</v>
      </c>
      <c r="C7" s="8"/>
      <c r="D7" s="8"/>
      <c r="E7" s="1"/>
      <c r="F7" s="1"/>
      <c r="G7" s="1"/>
      <c r="H7" s="1"/>
      <c r="I7" s="1"/>
      <c r="J7" s="1"/>
      <c r="K7" s="1"/>
    </row>
    <row r="8">
      <c r="A8" s="6" t="s">
        <v>7</v>
      </c>
      <c r="B8" s="11">
        <f t="array" ref="B8">IFERROR(INDEX(Units_Data!J$3:J$65,MATCH(B3,Units_Data!$A$3:$A$65,0)),"")</f>
        <v>830818.25</v>
      </c>
      <c r="C8" s="8"/>
      <c r="D8" s="8"/>
      <c r="E8" s="1"/>
      <c r="F8" s="1"/>
      <c r="G8" s="1"/>
      <c r="H8" s="1"/>
      <c r="I8" s="1"/>
      <c r="J8" s="1"/>
      <c r="K8" s="1" t="str">
        <f>Units_Data!A19</f>
        <v>B1-GF-17</v>
      </c>
    </row>
    <row r="9">
      <c r="A9" s="6" t="s">
        <v>8</v>
      </c>
      <c r="B9" s="9" t="str">
        <f t="array" ref="B9">IFERROR(INDEX(Units_Data!M$3:M$65,MATCH(B3,Units_Data!$A$3:$A$65,0)),"")</f>
        <v/>
      </c>
      <c r="C9" s="8"/>
      <c r="D9" s="8"/>
      <c r="E9" s="1"/>
      <c r="F9" s="1"/>
      <c r="G9" s="1"/>
      <c r="H9" s="1"/>
      <c r="I9" s="1"/>
      <c r="J9" s="1"/>
      <c r="K9" s="1" t="str">
        <f>Units_Data!A22</f>
        <v>B1-GF-20</v>
      </c>
    </row>
    <row r="10">
      <c r="A10" s="6" t="s">
        <v>9</v>
      </c>
      <c r="B10" s="9" t="str">
        <f t="array" ref="B10">IFERROR(INDEX(Units_Data!N$3:N$65,MATCH(B3,Units_Data!$A$3:$A$65,0)),"")</f>
        <v/>
      </c>
      <c r="C10" s="8"/>
      <c r="D10" s="8"/>
      <c r="E10" s="1"/>
      <c r="F10" s="1"/>
      <c r="G10" s="1"/>
      <c r="H10" s="1"/>
      <c r="I10" s="1"/>
      <c r="J10" s="1"/>
      <c r="K10" s="1" t="str">
        <f>Units_Data!A23</f>
        <v>B1-GF-21</v>
      </c>
    </row>
    <row r="11">
      <c r="A11" s="6" t="s">
        <v>10</v>
      </c>
      <c r="B11" s="12">
        <v>0.0</v>
      </c>
      <c r="C11" s="8"/>
      <c r="D11" s="8"/>
      <c r="E11" s="1"/>
      <c r="F11" s="1"/>
      <c r="G11" s="1"/>
      <c r="H11" s="1"/>
      <c r="I11" s="1"/>
      <c r="J11" s="1"/>
      <c r="K11" s="1"/>
    </row>
    <row r="12">
      <c r="A12" s="8" t="s">
        <v>11</v>
      </c>
      <c r="B12" s="13">
        <f>B8-(B8*B11)</f>
        <v>830818.25</v>
      </c>
      <c r="C12" s="8"/>
      <c r="D12" s="8"/>
      <c r="E12" s="1"/>
      <c r="F12" s="1"/>
      <c r="G12" s="1"/>
      <c r="H12" s="1"/>
      <c r="I12" s="1"/>
      <c r="J12" s="1"/>
      <c r="K12" s="1" t="str">
        <f>Units_Data!A24</f>
        <v>B1-GF-22</v>
      </c>
    </row>
    <row r="13">
      <c r="A13" s="8"/>
      <c r="B13" s="14"/>
      <c r="C13" s="8"/>
      <c r="D13" s="8"/>
      <c r="E13" s="1"/>
      <c r="F13" s="1"/>
      <c r="G13" s="1"/>
      <c r="H13" s="1"/>
      <c r="I13" s="1"/>
      <c r="J13" s="1"/>
      <c r="K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 t="str">
        <f>Units_Data!#REF!</f>
        <v>#ERROR!</v>
      </c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 t="str">
        <f>Units_Data!#REF!</f>
        <v>#ERROR!</v>
      </c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 t="str">
        <f>Units_Data!#REF!</f>
        <v>#ERROR!</v>
      </c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 t="str">
        <f>Units_Data!#REF!</f>
        <v>#ERROR!</v>
      </c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 t="str">
        <f>Units_Data!#REF!</f>
        <v>#ERROR!</v>
      </c>
    </row>
    <row r="19" ht="15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 t="str">
        <f>Units_Data!#REF!</f>
        <v>#ERROR!</v>
      </c>
    </row>
    <row r="20" ht="15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 t="str">
        <f>Units_Data!#REF!</f>
        <v>#ERROR!</v>
      </c>
    </row>
    <row r="21" ht="15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 t="str">
        <f>Units_Data!#REF!</f>
        <v>#ERROR!</v>
      </c>
    </row>
    <row r="22" ht="15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 t="str">
        <f>Units_Data!#REF!</f>
        <v>#ERROR!</v>
      </c>
    </row>
    <row r="23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 t="str">
        <f>Units_Data!#REF!</f>
        <v>#ERROR!</v>
      </c>
    </row>
    <row r="24" ht="15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 t="str">
        <f>Units_Data!#REF!</f>
        <v>#ERROR!</v>
      </c>
    </row>
    <row r="25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 t="str">
        <f>Units_Data!#REF!</f>
        <v>#ERROR!</v>
      </c>
    </row>
    <row r="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 t="str">
        <f>Units_Data!#REF!</f>
        <v>#ERROR!</v>
      </c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 t="str">
        <f>Units_Data!#REF!</f>
        <v>#ERROR!</v>
      </c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 t="str">
        <f>Units_Data!#REF!</f>
        <v>#ERROR!</v>
      </c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 t="str">
        <f>Units_Data!#REF!</f>
        <v>#ERROR!</v>
      </c>
    </row>
    <row r="30" ht="15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 t="str">
        <f>Units_Data!#REF!</f>
        <v>#ERROR!</v>
      </c>
    </row>
    <row r="31" ht="15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 t="str">
        <f>Units_Data!#REF!</f>
        <v>#ERROR!</v>
      </c>
    </row>
    <row r="32" ht="15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 t="str">
        <f>Units_Data!#REF!</f>
        <v>#ERROR!</v>
      </c>
    </row>
    <row r="33" ht="15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 t="str">
        <f>Units_Data!#REF!</f>
        <v>#ERROR!</v>
      </c>
    </row>
    <row r="34" ht="15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 t="str">
        <f>Units_Data!#REF!</f>
        <v>#ERROR!</v>
      </c>
    </row>
    <row r="35" ht="15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 t="str">
        <f>Units_Data!#REF!</f>
        <v>#ERROR!</v>
      </c>
    </row>
    <row r="36" ht="15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 t="str">
        <f>Units_Data!#REF!</f>
        <v>#ERROR!</v>
      </c>
    </row>
    <row r="37" ht="15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 t="str">
        <f>Units_Data!#REF!</f>
        <v>#ERROR!</v>
      </c>
    </row>
    <row r="38" ht="15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 t="str">
        <f>Units_Data!#REF!</f>
        <v>#ERROR!</v>
      </c>
    </row>
    <row r="39" ht="15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 t="str">
        <f>Units_Data!#REF!</f>
        <v>#ERROR!</v>
      </c>
    </row>
    <row r="40" ht="15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 t="str">
        <f>Units_Data!#REF!</f>
        <v>#ERROR!</v>
      </c>
    </row>
    <row r="41" ht="15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 t="str">
        <f>Units_Data!#REF!</f>
        <v>#ERROR!</v>
      </c>
    </row>
    <row r="42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 t="str">
        <f>Units_Data!#REF!</f>
        <v>#ERROR!</v>
      </c>
    </row>
    <row r="43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 t="str">
        <f>Units_Data!#REF!</f>
        <v>#ERROR!</v>
      </c>
    </row>
    <row r="44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 t="str">
        <f>Units_Data!#REF!</f>
        <v>#ERROR!</v>
      </c>
    </row>
    <row r="45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 t="str">
        <f>Units_Data!#REF!</f>
        <v>#ERROR!</v>
      </c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 t="str">
        <f>Units_Data!#REF!</f>
        <v>#ERROR!</v>
      </c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 t="str">
        <f>Units_Data!#REF!</f>
        <v>#ERROR!</v>
      </c>
    </row>
    <row r="48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 t="str">
        <f>Units_Data!#REF!</f>
        <v>#ERROR!</v>
      </c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 t="str">
        <f>Units_Data!#REF!</f>
        <v>#ERROR!</v>
      </c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 t="str">
        <f>Units_Data!#REF!</f>
        <v>#ERROR!</v>
      </c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 t="str">
        <f>Units_Data!#REF!</f>
        <v>#ERROR!</v>
      </c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 t="str">
        <f>Units_Data!#REF!</f>
        <v>#ERROR!</v>
      </c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 t="str">
        <f>Units_Data!#REF!</f>
        <v>#ERROR!</v>
      </c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 t="str">
        <f>Units_Data!#REF!</f>
        <v>#ERROR!</v>
      </c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 t="str">
        <f>Units_Data!#REF!</f>
        <v>#ERROR!</v>
      </c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 t="str">
        <f>Units_Data!#REF!</f>
        <v>#ERROR!</v>
      </c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 t="str">
        <f>Units_Data!#REF!</f>
        <v>#ERROR!</v>
      </c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 t="str">
        <f>Units_Data!#REF!</f>
        <v>#ERROR!</v>
      </c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 t="str">
        <f>Units_Data!#REF!</f>
        <v>#ERROR!</v>
      </c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 t="str">
        <f>Units_Data!#REF!</f>
        <v>#ERROR!</v>
      </c>
    </row>
    <row r="61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 t="str">
        <f>Units_Data!#REF!</f>
        <v>#ERROR!</v>
      </c>
    </row>
    <row r="62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 t="str">
        <f>Units_Data!#REF!</f>
        <v>#ERROR!</v>
      </c>
    </row>
    <row r="63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 t="str">
        <f>Units_Data!#REF!</f>
        <v>#ERROR!</v>
      </c>
    </row>
    <row r="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 t="str">
        <f>Units_Data!#REF!</f>
        <v>#ERROR!</v>
      </c>
    </row>
    <row r="65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 t="str">
        <f>Units_Data!#REF!</f>
        <v>#ERROR!</v>
      </c>
    </row>
    <row r="6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 t="str">
        <f>Units_Data!#REF!</f>
        <v>#ERROR!</v>
      </c>
    </row>
    <row r="67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 t="str">
        <f>Units_Data!#REF!</f>
        <v>#ERROR!</v>
      </c>
    </row>
    <row r="68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 t="str">
        <f>Units_Data!#REF!</f>
        <v>#ERROR!</v>
      </c>
    </row>
    <row r="69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 t="str">
        <f>Units_Data!#REF!</f>
        <v>#ERROR!</v>
      </c>
    </row>
    <row r="70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 t="str">
        <f>Units_Data!#REF!</f>
        <v>#ERROR!</v>
      </c>
    </row>
    <row r="71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 t="str">
        <f>Units_Data!#REF!</f>
        <v>#ERROR!</v>
      </c>
    </row>
    <row r="72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 t="str">
        <f>Units_Data!#REF!</f>
        <v>#ERROR!</v>
      </c>
    </row>
    <row r="73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 t="str">
        <f>Units_Data!#REF!</f>
        <v>#ERROR!</v>
      </c>
    </row>
    <row r="74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 t="str">
        <f>Units_Data!#REF!</f>
        <v>#ERROR!</v>
      </c>
    </row>
    <row r="75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 t="str">
        <f>Units_Data!#REF!</f>
        <v>#ERROR!</v>
      </c>
    </row>
    <row r="7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 t="str">
        <f>Units_Data!#REF!</f>
        <v>#ERROR!</v>
      </c>
    </row>
    <row r="77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 t="str">
        <f>Units_Data!#REF!</f>
        <v>#ERROR!</v>
      </c>
    </row>
    <row r="78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 t="str">
        <f>Units_Data!#REF!</f>
        <v>#ERROR!</v>
      </c>
    </row>
    <row r="79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 t="str">
        <f>Units_Data!#REF!</f>
        <v>#ERROR!</v>
      </c>
    </row>
    <row r="80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 t="str">
        <f>Units_Data!#REF!</f>
        <v>#ERROR!</v>
      </c>
    </row>
    <row r="81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 t="str">
        <f>Units_Data!#REF!</f>
        <v>#ERROR!</v>
      </c>
    </row>
    <row r="82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 t="str">
        <f>Units_Data!#REF!</f>
        <v>#ERROR!</v>
      </c>
    </row>
    <row r="83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 t="str">
        <f>Units_Data!#REF!</f>
        <v>#ERROR!</v>
      </c>
    </row>
    <row r="84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 t="str">
        <f>Units_Data!#REF!</f>
        <v>#ERROR!</v>
      </c>
    </row>
    <row r="85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 t="str">
        <f>Units_Data!#REF!</f>
        <v>#ERROR!</v>
      </c>
    </row>
    <row r="8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 t="str">
        <f>Units_Data!#REF!</f>
        <v>#ERROR!</v>
      </c>
    </row>
    <row r="87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 t="str">
        <f>Units_Data!#REF!</f>
        <v>#ERROR!</v>
      </c>
    </row>
    <row r="88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 t="str">
        <f>Units_Data!#REF!</f>
        <v>#ERROR!</v>
      </c>
    </row>
    <row r="89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 t="str">
        <f>Units_Data!#REF!</f>
        <v>#ERROR!</v>
      </c>
    </row>
    <row r="90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 t="str">
        <f>Units_Data!#REF!</f>
        <v>#ERROR!</v>
      </c>
    </row>
    <row r="91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 t="str">
        <f>Units_Data!#REF!</f>
        <v>#ERROR!</v>
      </c>
    </row>
    <row r="92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 t="str">
        <f>Units_Data!#REF!</f>
        <v>#ERROR!</v>
      </c>
    </row>
    <row r="93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 t="str">
        <f>Units_Data!#REF!</f>
        <v>#ERROR!</v>
      </c>
    </row>
    <row r="94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 t="str">
        <f>Units_Data!#REF!</f>
        <v>#ERROR!</v>
      </c>
    </row>
    <row r="95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 t="str">
        <f>Units_Data!#REF!</f>
        <v>#ERROR!</v>
      </c>
    </row>
    <row r="9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 t="str">
        <f>Units_Data!#REF!</f>
        <v>#ERROR!</v>
      </c>
    </row>
    <row r="97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 t="str">
        <f>Units_Data!#REF!</f>
        <v>#ERROR!</v>
      </c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 t="str">
        <f>Units_Data!#REF!</f>
        <v>#ERROR!</v>
      </c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 t="str">
        <f>Units_Data!#REF!</f>
        <v>#ERROR!</v>
      </c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 t="str">
        <f>Units_Data!#REF!</f>
        <v>#ERROR!</v>
      </c>
    </row>
    <row r="101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 t="str">
        <f>Units_Data!#REF!</f>
        <v>#ERROR!</v>
      </c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 t="str">
        <f>Units_Data!#REF!</f>
        <v>#ERROR!</v>
      </c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 t="str">
        <f>Units_Data!#REF!</f>
        <v>#ERROR!</v>
      </c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 t="str">
        <f>Units_Data!#REF!</f>
        <v>#ERROR!</v>
      </c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 t="str">
        <f>Units_Data!#REF!</f>
        <v>#ERROR!</v>
      </c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 t="str">
        <f>Units_Data!#REF!</f>
        <v>#ERROR!</v>
      </c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 t="str">
        <f>Units_Data!#REF!</f>
        <v>#ERROR!</v>
      </c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 t="str">
        <f>Units_Data!#REF!</f>
        <v>#ERROR!</v>
      </c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 t="str">
        <f>Units_Data!#REF!</f>
        <v>#ERROR!</v>
      </c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 t="str">
        <f>Units_Data!#REF!</f>
        <v>#ERROR!</v>
      </c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 t="str">
        <f>Units_Data!#REF!</f>
        <v>#ERROR!</v>
      </c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 t="str">
        <f>Units_Data!#REF!</f>
        <v>#ERROR!</v>
      </c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 t="str">
        <f>Units_Data!#REF!</f>
        <v>#ERROR!</v>
      </c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 t="str">
        <f>Units_Data!#REF!</f>
        <v>#ERROR!</v>
      </c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 t="str">
        <f>Units_Data!#REF!</f>
        <v>#ERROR!</v>
      </c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 t="str">
        <f>Units_Data!#REF!</f>
        <v>#ERROR!</v>
      </c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 t="str">
        <f>Units_Data!#REF!</f>
        <v>#ERROR!</v>
      </c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 t="str">
        <f>Units_Data!#REF!</f>
        <v>#ERROR!</v>
      </c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 t="str">
        <f>Units_Data!#REF!</f>
        <v>#ERROR!</v>
      </c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 t="str">
        <f>Units_Data!#REF!</f>
        <v>#ERROR!</v>
      </c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 t="str">
        <f>Units_Data!#REF!</f>
        <v>#ERROR!</v>
      </c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 t="str">
        <f>Units_Data!#REF!</f>
        <v>#ERROR!</v>
      </c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 t="str">
        <f>Units_Data!#REF!</f>
        <v>#ERROR!</v>
      </c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 t="str">
        <f>Units_Data!#REF!</f>
        <v>#ERROR!</v>
      </c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 t="str">
        <f>Units_Data!#REF!</f>
        <v>#ERROR!</v>
      </c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 t="str">
        <f>Units_Data!#REF!</f>
        <v>#ERROR!</v>
      </c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 t="str">
        <f>Units_Data!#REF!</f>
        <v>#ERROR!</v>
      </c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 t="str">
        <f>Units_Data!#REF!</f>
        <v>#ERROR!</v>
      </c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 t="str">
        <f>Units_Data!#REF!</f>
        <v>#ERROR!</v>
      </c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 t="str">
        <f>Units_Data!#REF!</f>
        <v>#ERROR!</v>
      </c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 t="str">
        <f>Units_Data!#REF!</f>
        <v>#ERROR!</v>
      </c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 t="str">
        <f>Units_Data!#REF!</f>
        <v>#ERROR!</v>
      </c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 t="str">
        <f>Units_Data!#REF!</f>
        <v>#ERROR!</v>
      </c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 t="str">
        <f>Units_Data!#REF!</f>
        <v>#ERROR!</v>
      </c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 t="str">
        <f>Units_Data!#REF!</f>
        <v>#ERROR!</v>
      </c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 t="str">
        <f>Units_Data!#REF!</f>
        <v>#ERROR!</v>
      </c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 t="str">
        <f>Units_Data!#REF!</f>
        <v>#ERROR!</v>
      </c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 t="str">
        <f>Units_Data!#REF!</f>
        <v>#ERROR!</v>
      </c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 t="str">
        <f>Units_Data!#REF!</f>
        <v>#ERROR!</v>
      </c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 t="str">
        <f>Units_Data!#REF!</f>
        <v>#ERROR!</v>
      </c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 t="str">
        <f>Units_Data!#REF!</f>
        <v>#ERROR!</v>
      </c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 t="str">
        <f>Units_Data!#REF!</f>
        <v>#ERROR!</v>
      </c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 t="str">
        <f>Units_Data!#REF!</f>
        <v>#ERROR!</v>
      </c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 t="str">
        <f>Units_Data!#REF!</f>
        <v>#ERROR!</v>
      </c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 t="str">
        <f>Units_Data!#REF!</f>
        <v>#ERROR!</v>
      </c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 t="str">
        <f>Units_Data!#REF!</f>
        <v>#ERROR!</v>
      </c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 t="str">
        <f>Units_Data!#REF!</f>
        <v>#ERROR!</v>
      </c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 t="str">
        <f>Units_Data!#REF!</f>
        <v>#ERROR!</v>
      </c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 t="str">
        <f>Units_Data!#REF!</f>
        <v>#ERROR!</v>
      </c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 t="str">
        <f>Units_Data!#REF!</f>
        <v>#ERROR!</v>
      </c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 t="str">
        <f>Units_Data!#REF!</f>
        <v>#ERROR!</v>
      </c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 t="str">
        <f>Units_Data!#REF!</f>
        <v>#ERROR!</v>
      </c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 t="str">
        <f>Units_Data!#REF!</f>
        <v>#ERROR!</v>
      </c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 t="str">
        <f>Units_Data!#REF!</f>
        <v>#ERROR!</v>
      </c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 t="str">
        <f>Units_Data!#REF!</f>
        <v>#ERROR!</v>
      </c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 t="str">
        <f>Units_Data!#REF!</f>
        <v>#ERROR!</v>
      </c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 t="str">
        <f>Units_Data!#REF!</f>
        <v>#ERROR!</v>
      </c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 t="str">
        <f>Units_Data!#REF!</f>
        <v>#ERROR!</v>
      </c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 t="str">
        <f>Units_Data!#REF!</f>
        <v>#ERROR!</v>
      </c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 t="str">
        <f>Units_Data!#REF!</f>
        <v>#ERROR!</v>
      </c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 t="str">
        <f>Units_Data!#REF!</f>
        <v>#ERROR!</v>
      </c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 t="str">
        <f>Units_Data!#REF!</f>
        <v>#ERROR!</v>
      </c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 t="str">
        <f>Units_Data!#REF!</f>
        <v>#ERROR!</v>
      </c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 t="str">
        <f>Units_Data!#REF!</f>
        <v>#ERROR!</v>
      </c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 t="str">
        <f>Units_Data!#REF!</f>
        <v>#ERROR!</v>
      </c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 t="str">
        <f>Units_Data!#REF!</f>
        <v>#ERROR!</v>
      </c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 t="str">
        <f>Units_Data!#REF!</f>
        <v>#ERROR!</v>
      </c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 t="str">
        <f>Units_Data!#REF!</f>
        <v>#ERROR!</v>
      </c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 t="str">
        <f>Units_Data!#REF!</f>
        <v>#ERROR!</v>
      </c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 t="str">
        <f>Units_Data!#REF!</f>
        <v>#ERROR!</v>
      </c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 t="str">
        <f>Units_Data!#REF!</f>
        <v>#ERROR!</v>
      </c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 t="str">
        <f>Units_Data!#REF!</f>
        <v>#ERROR!</v>
      </c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 t="str">
        <f>Units_Data!#REF!</f>
        <v>#ERROR!</v>
      </c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 t="str">
        <f>Units_Data!#REF!</f>
        <v>#ERROR!</v>
      </c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 t="str">
        <f>Units_Data!#REF!</f>
        <v>#ERROR!</v>
      </c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 t="str">
        <f>Units_Data!#REF!</f>
        <v>#ERROR!</v>
      </c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 t="str">
        <f>Units_Data!#REF!</f>
        <v>#ERROR!</v>
      </c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 t="str">
        <f>Units_Data!#REF!</f>
        <v>#ERROR!</v>
      </c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 t="str">
        <f>Units_Data!#REF!</f>
        <v>#ERROR!</v>
      </c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 t="str">
        <f>Units_Data!#REF!</f>
        <v>#ERROR!</v>
      </c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 t="str">
        <f>Units_Data!#REF!</f>
        <v>#ERROR!</v>
      </c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 t="str">
        <f>Units_Data!#REF!</f>
        <v>#ERROR!</v>
      </c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 t="str">
        <f>Units_Data!#REF!</f>
        <v>#ERROR!</v>
      </c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 t="str">
        <f>Units_Data!#REF!</f>
        <v>#ERROR!</v>
      </c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 t="str">
        <f>Units_Data!#REF!</f>
        <v>#ERROR!</v>
      </c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 t="str">
        <f>Units_Data!#REF!</f>
        <v>#ERROR!</v>
      </c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 t="str">
        <f>Units_Data!#REF!</f>
        <v>#ERROR!</v>
      </c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 t="str">
        <f>Units_Data!#REF!</f>
        <v>#ERROR!</v>
      </c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 t="str">
        <f>Units_Data!#REF!</f>
        <v>#ERROR!</v>
      </c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 t="str">
        <f>Units_Data!#REF!</f>
        <v>#ERROR!</v>
      </c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 t="str">
        <f>Units_Data!#REF!</f>
        <v>#ERROR!</v>
      </c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 t="str">
        <f>Units_Data!#REF!</f>
        <v>#ERROR!</v>
      </c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 t="str">
        <f>Units_Data!#REF!</f>
        <v>#ERROR!</v>
      </c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 t="str">
        <f>Units_Data!#REF!</f>
        <v>#ERROR!</v>
      </c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 t="str">
        <f>Units_Data!#REF!</f>
        <v>#ERROR!</v>
      </c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 t="str">
        <f>Units_Data!#REF!</f>
        <v>#ERROR!</v>
      </c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 t="str">
        <f>Units_Data!#REF!</f>
        <v>#ERROR!</v>
      </c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 t="str">
        <f>Units_Data!#REF!</f>
        <v>#ERROR!</v>
      </c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 t="str">
        <f>Units_Data!#REF!</f>
        <v>#ERROR!</v>
      </c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 t="str">
        <f>Units_Data!#REF!</f>
        <v>#ERROR!</v>
      </c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 t="str">
        <f>Units_Data!#REF!</f>
        <v>#ERROR!</v>
      </c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 t="str">
        <f>Units_Data!#REF!</f>
        <v>#ERROR!</v>
      </c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 t="str">
        <f>Units_Data!#REF!</f>
        <v>#ERROR!</v>
      </c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 t="str">
        <f>Units_Data!#REF!</f>
        <v>#ERROR!</v>
      </c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 t="str">
        <f>Units_Data!#REF!</f>
        <v>#ERROR!</v>
      </c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 t="str">
        <f>Units_Data!#REF!</f>
        <v>#ERROR!</v>
      </c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 t="str">
        <f>Units_Data!#REF!</f>
        <v>#ERROR!</v>
      </c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 t="str">
        <f>Units_Data!#REF!</f>
        <v>#ERROR!</v>
      </c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 t="str">
        <f>Units_Data!#REF!</f>
        <v>#ERROR!</v>
      </c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 t="str">
        <f>Units_Data!#REF!</f>
        <v>#ERROR!</v>
      </c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 t="str">
        <f>Units_Data!#REF!</f>
        <v>#ERROR!</v>
      </c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 t="str">
        <f>Units_Data!#REF!</f>
        <v>#ERROR!</v>
      </c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 t="str">
        <f>Units_Data!#REF!</f>
        <v>#ERROR!</v>
      </c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 t="str">
        <f>Units_Data!#REF!</f>
        <v>#ERROR!</v>
      </c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 t="str">
        <f>Units_Data!#REF!</f>
        <v>#ERROR!</v>
      </c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 t="str">
        <f>Units_Data!#REF!</f>
        <v>#ERROR!</v>
      </c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 t="str">
        <f>Units_Data!#REF!</f>
        <v>#ERROR!</v>
      </c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 t="str">
        <f>Units_Data!#REF!</f>
        <v>#ERROR!</v>
      </c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 t="str">
        <f>Units_Data!#REF!</f>
        <v>#ERROR!</v>
      </c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 t="str">
        <f>Units_Data!#REF!</f>
        <v>#ERROR!</v>
      </c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 t="str">
        <f>Units_Data!#REF!</f>
        <v>#ERROR!</v>
      </c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 t="str">
        <f>Units_Data!#REF!</f>
        <v>#ERROR!</v>
      </c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 t="str">
        <f>Units_Data!#REF!</f>
        <v>#ERROR!</v>
      </c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 t="str">
        <f>Units_Data!#REF!</f>
        <v>#ERROR!</v>
      </c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 t="str">
        <f>Units_Data!#REF!</f>
        <v>#ERROR!</v>
      </c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 t="str">
        <f>Units_Data!#REF!</f>
        <v>#ERROR!</v>
      </c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 t="str">
        <f>Units_Data!#REF!</f>
        <v>#ERROR!</v>
      </c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 t="str">
        <f>Units_Data!#REF!</f>
        <v>#ERROR!</v>
      </c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 t="str">
        <f>Units_Data!#REF!</f>
        <v>#ERROR!</v>
      </c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 t="str">
        <f>Units_Data!#REF!</f>
        <v>#ERROR!</v>
      </c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 t="str">
        <f>Units_Data!#REF!</f>
        <v>#ERROR!</v>
      </c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 t="str">
        <f>Units_Data!#REF!</f>
        <v>#ERROR!</v>
      </c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 t="str">
        <f>Units_Data!#REF!</f>
        <v>#ERROR!</v>
      </c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 t="str">
        <f>Units_Data!#REF!</f>
        <v>#ERROR!</v>
      </c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 t="str">
        <f>Units_Data!#REF!</f>
        <v>#ERROR!</v>
      </c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 t="str">
        <f>Units_Data!#REF!</f>
        <v>#ERROR!</v>
      </c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 t="str">
        <f>Units_Data!#REF!</f>
        <v>#ERROR!</v>
      </c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 t="str">
        <f>Units_Data!#REF!</f>
        <v>#ERROR!</v>
      </c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 t="str">
        <f>Units_Data!#REF!</f>
        <v>#ERROR!</v>
      </c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 t="str">
        <f>Units_Data!#REF!</f>
        <v>#ERROR!</v>
      </c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 t="str">
        <f>Units_Data!#REF!</f>
        <v>#ERROR!</v>
      </c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 t="str">
        <f>Units_Data!#REF!</f>
        <v>#ERROR!</v>
      </c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 t="str">
        <f>Units_Data!#REF!</f>
        <v>#ERROR!</v>
      </c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 t="str">
        <f>Units_Data!#REF!</f>
        <v>#ERROR!</v>
      </c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 t="str">
        <f>Units_Data!#REF!</f>
        <v>#ERROR!</v>
      </c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 t="str">
        <f>Units_Data!#REF!</f>
        <v>#ERROR!</v>
      </c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 t="str">
        <f>Units_Data!#REF!</f>
        <v>#ERROR!</v>
      </c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 t="str">
        <f>Units_Data!#REF!</f>
        <v>#ERROR!</v>
      </c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 t="str">
        <f>Units_Data!#REF!</f>
        <v>#ERROR!</v>
      </c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 t="str">
        <f>Units_Data!#REF!</f>
        <v>#ERROR!</v>
      </c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 t="str">
        <f>Units_Data!#REF!</f>
        <v>#ERROR!</v>
      </c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 t="str">
        <f>Units_Data!#REF!</f>
        <v>#ERROR!</v>
      </c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 t="str">
        <f>Units_Data!#REF!</f>
        <v>#ERROR!</v>
      </c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 t="str">
        <f>Units_Data!#REF!</f>
        <v>#ERROR!</v>
      </c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 t="str">
        <f>Units_Data!#REF!</f>
        <v>#ERROR!</v>
      </c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 t="str">
        <f>Units_Data!#REF!</f>
        <v>#ERROR!</v>
      </c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 t="str">
        <f>Units_Data!#REF!</f>
        <v>#ERROR!</v>
      </c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 t="str">
        <f>Units_Data!#REF!</f>
        <v>#ERROR!</v>
      </c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 t="str">
        <f>Units_Data!#REF!</f>
        <v>#ERROR!</v>
      </c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 t="str">
        <f>Units_Data!#REF!</f>
        <v>#ERROR!</v>
      </c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 t="str">
        <f>Units_Data!#REF!</f>
        <v>#ERROR!</v>
      </c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 t="str">
        <f>Units_Data!#REF!</f>
        <v>#ERROR!</v>
      </c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 t="str">
        <f>Units_Data!#REF!</f>
        <v>#ERROR!</v>
      </c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 t="str">
        <f>Units_Data!#REF!</f>
        <v>#ERROR!</v>
      </c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 t="str">
        <f>Units_Data!#REF!</f>
        <v>#ERROR!</v>
      </c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 t="str">
        <f>Units_Data!#REF!</f>
        <v>#ERROR!</v>
      </c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 t="str">
        <f>Units_Data!#REF!</f>
        <v>#ERROR!</v>
      </c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 t="str">
        <f>Units_Data!#REF!</f>
        <v>#ERROR!</v>
      </c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 t="str">
        <f>Units_Data!#REF!</f>
        <v>#ERROR!</v>
      </c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 t="str">
        <f>Units_Data!#REF!</f>
        <v>#ERROR!</v>
      </c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 t="str">
        <f>Units_Data!#REF!</f>
        <v>#ERROR!</v>
      </c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 t="str">
        <f>Units_Data!#REF!</f>
        <v>#ERROR!</v>
      </c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 t="str">
        <f>Units_Data!#REF!</f>
        <v>#ERROR!</v>
      </c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 t="str">
        <f>Units_Data!#REF!</f>
        <v>#ERROR!</v>
      </c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 t="str">
        <f>Units_Data!#REF!</f>
        <v>#ERROR!</v>
      </c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 t="str">
        <f>Units_Data!#REF!</f>
        <v>#ERROR!</v>
      </c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 t="str">
        <f>Units_Data!#REF!</f>
        <v>#ERROR!</v>
      </c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 t="str">
        <f>Units_Data!#REF!</f>
        <v>#ERROR!</v>
      </c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 t="str">
        <f>Units_Data!#REF!</f>
        <v>#ERROR!</v>
      </c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 t="str">
        <f>Units_Data!#REF!</f>
        <v>#ERROR!</v>
      </c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 t="str">
        <f>Units_Data!#REF!</f>
        <v>#ERROR!</v>
      </c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 t="str">
        <f>Units_Data!#REF!</f>
        <v>#ERROR!</v>
      </c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 t="str">
        <f>Units_Data!#REF!</f>
        <v>#ERROR!</v>
      </c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 t="str">
        <f>Units_Data!#REF!</f>
        <v>#ERROR!</v>
      </c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 t="str">
        <f>Units_Data!#REF!</f>
        <v>#ERROR!</v>
      </c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 t="str">
        <f>Units_Data!#REF!</f>
        <v>#ERROR!</v>
      </c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 t="str">
        <f>Units_Data!#REF!</f>
        <v>#ERROR!</v>
      </c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 t="str">
        <f>Units_Data!#REF!</f>
        <v>#ERROR!</v>
      </c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 t="str">
        <f>Units_Data!#REF!</f>
        <v>#ERROR!</v>
      </c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 t="str">
        <f>Units_Data!#REF!</f>
        <v>#ERROR!</v>
      </c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 t="str">
        <f>Units_Data!#REF!</f>
        <v>#ERROR!</v>
      </c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 t="str">
        <f>Units_Data!#REF!</f>
        <v>#ERROR!</v>
      </c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 t="str">
        <f>Units_Data!#REF!</f>
        <v>#ERROR!</v>
      </c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 t="str">
        <f>Units_Data!#REF!</f>
        <v>#ERROR!</v>
      </c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 t="str">
        <f>Units_Data!#REF!</f>
        <v>#ERROR!</v>
      </c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 t="str">
        <f>Units_Data!#REF!</f>
        <v>#ERROR!</v>
      </c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 t="str">
        <f>Units_Data!#REF!</f>
        <v>#ERROR!</v>
      </c>
    </row>
    <row r="298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 t="str">
        <f>Units_Data!#REF!</f>
        <v>#ERROR!</v>
      </c>
    </row>
    <row r="299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 t="str">
        <f>Units_Data!#REF!</f>
        <v>#ERROR!</v>
      </c>
    </row>
    <row r="300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 t="str">
        <f>Units_Data!#REF!</f>
        <v>#ERROR!</v>
      </c>
    </row>
    <row r="301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 t="str">
        <f>Units_Data!#REF!</f>
        <v>#ERROR!</v>
      </c>
    </row>
    <row r="302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 t="str">
        <f>Units_Data!#REF!</f>
        <v>#ERROR!</v>
      </c>
    </row>
    <row r="303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 t="str">
        <f>Units_Data!#REF!</f>
        <v>#ERROR!</v>
      </c>
    </row>
    <row r="30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 t="str">
        <f>Units_Data!#REF!</f>
        <v>#ERROR!</v>
      </c>
    </row>
    <row r="305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 t="str">
        <f>Units_Data!#REF!</f>
        <v>#ERROR!</v>
      </c>
    </row>
    <row r="30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 t="str">
        <f>Units_Data!#REF!</f>
        <v>#ERROR!</v>
      </c>
    </row>
    <row r="307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 t="str">
        <f>Units_Data!#REF!</f>
        <v>#ERROR!</v>
      </c>
    </row>
    <row r="308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 t="str">
        <f>Units_Data!#REF!</f>
        <v>#ERROR!</v>
      </c>
    </row>
    <row r="309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 t="str">
        <f>Units_Data!#REF!</f>
        <v>#ERROR!</v>
      </c>
    </row>
    <row r="310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 t="str">
        <f>Units_Data!#REF!</f>
        <v>#ERROR!</v>
      </c>
    </row>
    <row r="311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 t="str">
        <f>Units_Data!#REF!</f>
        <v>#ERROR!</v>
      </c>
    </row>
    <row r="312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 t="str">
        <f>Units_Data!#REF!</f>
        <v>#ERROR!</v>
      </c>
    </row>
    <row r="313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 t="str">
        <f>Units_Data!#REF!</f>
        <v>#ERROR!</v>
      </c>
    </row>
    <row r="31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 t="str">
        <f>Units_Data!#REF!</f>
        <v>#ERROR!</v>
      </c>
    </row>
    <row r="315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 t="str">
        <f>Units_Data!#REF!</f>
        <v>#ERROR!</v>
      </c>
    </row>
    <row r="31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 t="str">
        <f>Units_Data!#REF!</f>
        <v>#ERROR!</v>
      </c>
    </row>
    <row r="317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 t="str">
        <f>Units_Data!#REF!</f>
        <v>#ERROR!</v>
      </c>
    </row>
    <row r="318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 t="str">
        <f>Units_Data!#REF!</f>
        <v>#ERROR!</v>
      </c>
    </row>
    <row r="319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 t="str">
        <f>Units_Data!#REF!</f>
        <v>#ERROR!</v>
      </c>
    </row>
    <row r="320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 t="str">
        <f>Units_Data!#REF!</f>
        <v>#ERROR!</v>
      </c>
    </row>
    <row r="321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 t="str">
        <f>Units_Data!#REF!</f>
        <v>#ERROR!</v>
      </c>
    </row>
    <row r="322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 t="str">
        <f>Units_Data!#REF!</f>
        <v>#ERROR!</v>
      </c>
    </row>
    <row r="323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 t="str">
        <f>Units_Data!#REF!</f>
        <v>#ERROR!</v>
      </c>
    </row>
    <row r="324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 t="str">
        <f>Units_Data!#REF!</f>
        <v>#ERROR!</v>
      </c>
    </row>
    <row r="325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 t="str">
        <f>Units_Data!#REF!</f>
        <v>#ERROR!</v>
      </c>
    </row>
    <row r="326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 t="str">
        <f>Units_Data!#REF!</f>
        <v>#ERROR!</v>
      </c>
    </row>
    <row r="327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 t="str">
        <f>Units_Data!#REF!</f>
        <v>#ERROR!</v>
      </c>
    </row>
    <row r="328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 t="str">
        <f>Units_Data!#REF!</f>
        <v>#ERROR!</v>
      </c>
    </row>
    <row r="329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 t="str">
        <f>Units_Data!#REF!</f>
        <v>#ERROR!</v>
      </c>
    </row>
    <row r="330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 t="str">
        <f>Units_Data!#REF!</f>
        <v>#ERROR!</v>
      </c>
    </row>
    <row r="331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 t="str">
        <f>Units_Data!#REF!</f>
        <v>#ERROR!</v>
      </c>
    </row>
    <row r="332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 t="str">
        <f>Units_Data!#REF!</f>
        <v>#ERROR!</v>
      </c>
    </row>
    <row r="333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 t="str">
        <f>Units_Data!#REF!</f>
        <v>#ERROR!</v>
      </c>
    </row>
    <row r="334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 t="str">
        <f>Units_Data!#REF!</f>
        <v>#ERROR!</v>
      </c>
    </row>
    <row r="335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 t="str">
        <f>Units_Data!#REF!</f>
        <v>#ERROR!</v>
      </c>
    </row>
    <row r="336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 t="str">
        <f>Units_Data!#REF!</f>
        <v>#ERROR!</v>
      </c>
    </row>
    <row r="337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 t="str">
        <f>Units_Data!#REF!</f>
        <v>#ERROR!</v>
      </c>
    </row>
    <row r="338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 t="str">
        <f>Units_Data!#REF!</f>
        <v>#ERROR!</v>
      </c>
    </row>
    <row r="339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 t="str">
        <f>Units_Data!#REF!</f>
        <v>#ERROR!</v>
      </c>
    </row>
    <row r="340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 t="str">
        <f>Units_Data!#REF!</f>
        <v>#ERROR!</v>
      </c>
    </row>
    <row r="341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 t="str">
        <f>Units_Data!#REF!</f>
        <v>#ERROR!</v>
      </c>
    </row>
    <row r="342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 t="str">
        <f>Units_Data!#REF!</f>
        <v>#ERROR!</v>
      </c>
    </row>
    <row r="343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 t="str">
        <f>Units_Data!#REF!</f>
        <v>#ERROR!</v>
      </c>
    </row>
    <row r="344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 t="str">
        <f>Units_Data!#REF!</f>
        <v>#ERROR!</v>
      </c>
    </row>
    <row r="345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 t="str">
        <f>Units_Data!#REF!</f>
        <v>#ERROR!</v>
      </c>
    </row>
    <row r="346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 t="str">
        <f>Units_Data!#REF!</f>
        <v>#ERROR!</v>
      </c>
    </row>
    <row r="347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 t="str">
        <f>Units_Data!#REF!</f>
        <v>#ERROR!</v>
      </c>
    </row>
    <row r="348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 t="str">
        <f>Units_Data!#REF!</f>
        <v>#ERROR!</v>
      </c>
    </row>
    <row r="349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 t="str">
        <f>Units_Data!#REF!</f>
        <v>#ERROR!</v>
      </c>
    </row>
    <row r="350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 t="str">
        <f>Units_Data!#REF!</f>
        <v>#ERROR!</v>
      </c>
    </row>
    <row r="351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 t="str">
        <f>Units_Data!#REF!</f>
        <v>#ERROR!</v>
      </c>
    </row>
    <row r="352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 t="str">
        <f>Units_Data!#REF!</f>
        <v>#ERROR!</v>
      </c>
    </row>
    <row r="353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 t="str">
        <f>Units_Data!#REF!</f>
        <v>#ERROR!</v>
      </c>
    </row>
    <row r="354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 t="str">
        <f>Units_Data!#REF!</f>
        <v>#ERROR!</v>
      </c>
    </row>
    <row r="355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 t="str">
        <f>Units_Data!#REF!</f>
        <v>#ERROR!</v>
      </c>
    </row>
    <row r="356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 t="str">
        <f>Units_Data!#REF!</f>
        <v>#ERROR!</v>
      </c>
    </row>
    <row r="357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 t="str">
        <f>Units_Data!#REF!</f>
        <v>#ERROR!</v>
      </c>
    </row>
    <row r="358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 t="str">
        <f>Units_Data!#REF!</f>
        <v>#ERROR!</v>
      </c>
    </row>
    <row r="359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 t="str">
        <f>Units_Data!#REF!</f>
        <v>#ERROR!</v>
      </c>
    </row>
    <row r="360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 t="str">
        <f>Units_Data!#REF!</f>
        <v>#ERROR!</v>
      </c>
    </row>
    <row r="361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 t="str">
        <f>Units_Data!#REF!</f>
        <v>#ERROR!</v>
      </c>
    </row>
    <row r="362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 t="str">
        <f>Units_Data!#REF!</f>
        <v>#ERROR!</v>
      </c>
    </row>
    <row r="363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 t="str">
        <f>Units_Data!#REF!</f>
        <v>#ERROR!</v>
      </c>
    </row>
    <row r="364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 t="str">
        <f>Units_Data!#REF!</f>
        <v>#ERROR!</v>
      </c>
    </row>
    <row r="365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 t="str">
        <f>Units_Data!#REF!</f>
        <v>#ERROR!</v>
      </c>
    </row>
    <row r="366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 t="str">
        <f>Units_Data!#REF!</f>
        <v>#ERROR!</v>
      </c>
    </row>
    <row r="367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 t="str">
        <f>Units_Data!#REF!</f>
        <v>#ERROR!</v>
      </c>
    </row>
    <row r="368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 t="str">
        <f>Units_Data!#REF!</f>
        <v>#ERROR!</v>
      </c>
    </row>
    <row r="369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 t="str">
        <f>Units_Data!#REF!</f>
        <v>#ERROR!</v>
      </c>
    </row>
    <row r="370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 t="str">
        <f>Units_Data!#REF!</f>
        <v>#ERROR!</v>
      </c>
    </row>
    <row r="371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 t="str">
        <f>Units_Data!#REF!</f>
        <v>#ERROR!</v>
      </c>
    </row>
    <row r="372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 t="str">
        <f>Units_Data!#REF!</f>
        <v>#ERROR!</v>
      </c>
    </row>
    <row r="373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 t="str">
        <f>Units_Data!#REF!</f>
        <v>#ERROR!</v>
      </c>
    </row>
    <row r="374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 t="str">
        <f>Units_Data!#REF!</f>
        <v>#ERROR!</v>
      </c>
    </row>
    <row r="375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 t="str">
        <f>Units_Data!#REF!</f>
        <v>#ERROR!</v>
      </c>
    </row>
    <row r="37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 t="str">
        <f>Units_Data!#REF!</f>
        <v>#ERROR!</v>
      </c>
    </row>
    <row r="377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 t="str">
        <f>Units_Data!#REF!</f>
        <v>#ERROR!</v>
      </c>
    </row>
    <row r="378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 t="str">
        <f>Units_Data!#REF!</f>
        <v>#ERROR!</v>
      </c>
    </row>
    <row r="379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 t="str">
        <f>Units_Data!#REF!</f>
        <v>#ERROR!</v>
      </c>
    </row>
    <row r="380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 t="str">
        <f>Units_Data!#REF!</f>
        <v>#ERROR!</v>
      </c>
    </row>
    <row r="381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 t="str">
        <f>Units_Data!#REF!</f>
        <v>#ERROR!</v>
      </c>
    </row>
    <row r="382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 t="str">
        <f>Units_Data!#REF!</f>
        <v>#ERROR!</v>
      </c>
    </row>
    <row r="383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 t="str">
        <f>Units_Data!#REF!</f>
        <v>#ERROR!</v>
      </c>
    </row>
    <row r="384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 t="str">
        <f>Units_Data!#REF!</f>
        <v>#ERROR!</v>
      </c>
    </row>
    <row r="385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 t="str">
        <f>Units_Data!#REF!</f>
        <v>#ERROR!</v>
      </c>
    </row>
    <row r="38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 t="str">
        <f>Units_Data!#REF!</f>
        <v>#ERROR!</v>
      </c>
    </row>
    <row r="387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 t="str">
        <f>Units_Data!#REF!</f>
        <v>#ERROR!</v>
      </c>
    </row>
    <row r="388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 t="str">
        <f>Units_Data!#REF!</f>
        <v>#ERROR!</v>
      </c>
    </row>
    <row r="389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 t="str">
        <f>Units_Data!#REF!</f>
        <v>#ERROR!</v>
      </c>
    </row>
    <row r="390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 t="str">
        <f>Units_Data!#REF!</f>
        <v>#ERROR!</v>
      </c>
    </row>
    <row r="391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 t="str">
        <f>Units_Data!#REF!</f>
        <v>#ERROR!</v>
      </c>
    </row>
    <row r="392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 t="str">
        <f>Units_Data!#REF!</f>
        <v>#ERROR!</v>
      </c>
    </row>
    <row r="393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 t="str">
        <f>Units_Data!#REF!</f>
        <v>#ERROR!</v>
      </c>
    </row>
    <row r="394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 t="str">
        <f>Units_Data!#REF!</f>
        <v>#ERROR!</v>
      </c>
    </row>
    <row r="395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 t="str">
        <f>Units_Data!#REF!</f>
        <v>#ERROR!</v>
      </c>
    </row>
    <row r="39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 t="str">
        <f>Units_Data!#REF!</f>
        <v>#ERROR!</v>
      </c>
    </row>
    <row r="397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 t="str">
        <f>Units_Data!#REF!</f>
        <v>#ERROR!</v>
      </c>
    </row>
    <row r="398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 t="str">
        <f>Units_Data!#REF!</f>
        <v>#ERROR!</v>
      </c>
    </row>
    <row r="399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 t="str">
        <f>Units_Data!#REF!</f>
        <v>#ERROR!</v>
      </c>
    </row>
    <row r="400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 t="str">
        <f>Units_Data!#REF!</f>
        <v>#ERROR!</v>
      </c>
    </row>
    <row r="401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 t="str">
        <f>Units_Data!#REF!</f>
        <v>#ERROR!</v>
      </c>
    </row>
    <row r="402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 t="str">
        <f>Units_Data!#REF!</f>
        <v>#ERROR!</v>
      </c>
    </row>
    <row r="403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 t="str">
        <f>Units_Data!#REF!</f>
        <v>#ERROR!</v>
      </c>
    </row>
    <row r="404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 t="str">
        <f>Units_Data!#REF!</f>
        <v>#ERROR!</v>
      </c>
    </row>
    <row r="405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 t="str">
        <f>Units_Data!#REF!</f>
        <v>#ERROR!</v>
      </c>
    </row>
    <row r="406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 t="str">
        <f>Units_Data!#REF!</f>
        <v>#ERROR!</v>
      </c>
    </row>
    <row r="407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 t="str">
        <f>Units_Data!#REF!</f>
        <v>#ERROR!</v>
      </c>
    </row>
    <row r="408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 t="str">
        <f>Units_Data!#REF!</f>
        <v>#ERROR!</v>
      </c>
    </row>
    <row r="409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 t="str">
        <f>Units_Data!#REF!</f>
        <v>#ERROR!</v>
      </c>
    </row>
    <row r="410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 t="str">
        <f>Units_Data!#REF!</f>
        <v>#ERROR!</v>
      </c>
    </row>
    <row r="411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 t="str">
        <f>Units_Data!#REF!</f>
        <v>#ERROR!</v>
      </c>
    </row>
    <row r="412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 t="str">
        <f>Units_Data!#REF!</f>
        <v>#ERROR!</v>
      </c>
    </row>
    <row r="413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 t="str">
        <f>Units_Data!#REF!</f>
        <v>#ERROR!</v>
      </c>
    </row>
    <row r="414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 t="str">
        <f>Units_Data!#REF!</f>
        <v>#ERROR!</v>
      </c>
    </row>
    <row r="415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 t="str">
        <f>Units_Data!#REF!</f>
        <v>#ERROR!</v>
      </c>
    </row>
    <row r="416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 t="str">
        <f>Units_Data!#REF!</f>
        <v>#ERROR!</v>
      </c>
    </row>
    <row r="417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 t="str">
        <f>Units_Data!#REF!</f>
        <v>#ERROR!</v>
      </c>
    </row>
    <row r="418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 t="str">
        <f>Units_Data!#REF!</f>
        <v>#ERROR!</v>
      </c>
    </row>
    <row r="419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 t="str">
        <f>Units_Data!#REF!</f>
        <v>#ERROR!</v>
      </c>
    </row>
    <row r="420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 t="str">
        <f>Units_Data!#REF!</f>
        <v>#ERROR!</v>
      </c>
    </row>
    <row r="421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 t="str">
        <f>Units_Data!#REF!</f>
        <v>#ERROR!</v>
      </c>
    </row>
    <row r="422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 t="str">
        <f>Units_Data!#REF!</f>
        <v>#ERROR!</v>
      </c>
    </row>
    <row r="423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 t="str">
        <f>Units_Data!#REF!</f>
        <v>#ERROR!</v>
      </c>
    </row>
    <row r="424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 t="str">
        <f>Units_Data!#REF!</f>
        <v>#ERROR!</v>
      </c>
    </row>
    <row r="425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 t="str">
        <f>Units_Data!#REF!</f>
        <v>#ERROR!</v>
      </c>
    </row>
    <row r="426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 t="str">
        <f>Units_Data!#REF!</f>
        <v>#ERROR!</v>
      </c>
    </row>
    <row r="427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 t="str">
        <f>Units_Data!#REF!</f>
        <v>#ERROR!</v>
      </c>
    </row>
    <row r="428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 t="str">
        <f>Units_Data!#REF!</f>
        <v>#ERROR!</v>
      </c>
    </row>
    <row r="429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 t="str">
        <f>Units_Data!#REF!</f>
        <v>#ERROR!</v>
      </c>
    </row>
    <row r="430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 t="str">
        <f>Units_Data!#REF!</f>
        <v>#ERROR!</v>
      </c>
    </row>
    <row r="431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 t="str">
        <f>Units_Data!#REF!</f>
        <v>#ERROR!</v>
      </c>
    </row>
    <row r="432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 t="str">
        <f>Units_Data!#REF!</f>
        <v>#ERROR!</v>
      </c>
    </row>
    <row r="433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 t="str">
        <f>Units_Data!#REF!</f>
        <v>#ERROR!</v>
      </c>
    </row>
    <row r="434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 t="str">
        <f>Units_Data!#REF!</f>
        <v>#ERROR!</v>
      </c>
    </row>
    <row r="435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 t="str">
        <f>Units_Data!#REF!</f>
        <v>#ERROR!</v>
      </c>
    </row>
    <row r="436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 t="str">
        <f>Units_Data!#REF!</f>
        <v>#ERROR!</v>
      </c>
    </row>
    <row r="437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 t="str">
        <f>Units_Data!#REF!</f>
        <v>#ERROR!</v>
      </c>
    </row>
    <row r="438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 t="str">
        <f>Units_Data!#REF!</f>
        <v>#ERROR!</v>
      </c>
    </row>
    <row r="439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 t="str">
        <f>Units_Data!#REF!</f>
        <v>#ERROR!</v>
      </c>
    </row>
    <row r="440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 t="str">
        <f>Units_Data!#REF!</f>
        <v>#ERROR!</v>
      </c>
    </row>
    <row r="441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 t="str">
        <f>Units_Data!#REF!</f>
        <v>#ERROR!</v>
      </c>
    </row>
    <row r="442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 t="str">
        <f>Units_Data!#REF!</f>
        <v>#ERROR!</v>
      </c>
    </row>
    <row r="443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 t="str">
        <f>Units_Data!#REF!</f>
        <v>#ERROR!</v>
      </c>
    </row>
    <row r="444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 t="str">
        <f>Units_Data!#REF!</f>
        <v>#ERROR!</v>
      </c>
    </row>
    <row r="445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 t="str">
        <f>Units_Data!#REF!</f>
        <v>#ERROR!</v>
      </c>
    </row>
    <row r="446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 t="str">
        <f>Units_Data!#REF!</f>
        <v>#ERROR!</v>
      </c>
    </row>
    <row r="447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 t="str">
        <f>Units_Data!#REF!</f>
        <v>#ERROR!</v>
      </c>
    </row>
    <row r="448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 t="str">
        <f>Units_Data!#REF!</f>
        <v>#ERROR!</v>
      </c>
    </row>
    <row r="449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 t="str">
        <f>Units_Data!#REF!</f>
        <v>#ERROR!</v>
      </c>
    </row>
    <row r="450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 t="str">
        <f>Units_Data!#REF!</f>
        <v>#ERROR!</v>
      </c>
    </row>
    <row r="451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 t="str">
        <f>Units_Data!#REF!</f>
        <v>#ERROR!</v>
      </c>
    </row>
    <row r="452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 t="str">
        <f>Units_Data!#REF!</f>
        <v>#ERROR!</v>
      </c>
    </row>
    <row r="453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 t="str">
        <f>Units_Data!#REF!</f>
        <v>#ERROR!</v>
      </c>
    </row>
    <row r="454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 t="str">
        <f>Units_Data!#REF!</f>
        <v>#ERROR!</v>
      </c>
    </row>
    <row r="455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 t="str">
        <f>Units_Data!#REF!</f>
        <v>#ERROR!</v>
      </c>
    </row>
    <row r="456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 t="str">
        <f>Units_Data!#REF!</f>
        <v>#ERROR!</v>
      </c>
    </row>
    <row r="457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 t="str">
        <f>Units_Data!#REF!</f>
        <v>#ERROR!</v>
      </c>
    </row>
    <row r="458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 t="str">
        <f>Units_Data!#REF!</f>
        <v>#ERROR!</v>
      </c>
    </row>
    <row r="459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 t="str">
        <f>Units_Data!#REF!</f>
        <v>#ERROR!</v>
      </c>
    </row>
    <row r="460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 t="str">
        <f>Units_Data!#REF!</f>
        <v>#ERROR!</v>
      </c>
    </row>
    <row r="461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 t="str">
        <f>Units_Data!#REF!</f>
        <v>#ERROR!</v>
      </c>
    </row>
    <row r="462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 t="str">
        <f>Units_Data!#REF!</f>
        <v>#ERROR!</v>
      </c>
    </row>
    <row r="463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 t="str">
        <f>Units_Data!#REF!</f>
        <v>#ERROR!</v>
      </c>
    </row>
    <row r="464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 t="str">
        <f>Units_Data!#REF!</f>
        <v>#ERROR!</v>
      </c>
    </row>
    <row r="465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 t="str">
        <f>Units_Data!#REF!</f>
        <v>#ERROR!</v>
      </c>
    </row>
    <row r="466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 t="str">
        <f>Units_Data!#REF!</f>
        <v>#ERROR!</v>
      </c>
    </row>
    <row r="467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 t="str">
        <f>Units_Data!#REF!</f>
        <v>#ERROR!</v>
      </c>
    </row>
    <row r="468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 t="str">
        <f>Units_Data!#REF!</f>
        <v>#ERROR!</v>
      </c>
    </row>
    <row r="469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 t="str">
        <f>Units_Data!#REF!</f>
        <v>#ERROR!</v>
      </c>
    </row>
    <row r="470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 t="str">
        <f>Units_Data!#REF!</f>
        <v>#ERROR!</v>
      </c>
    </row>
    <row r="471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 t="str">
        <f>Units_Data!#REF!</f>
        <v>#ERROR!</v>
      </c>
    </row>
    <row r="472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 t="str">
        <f>Units_Data!#REF!</f>
        <v>#ERROR!</v>
      </c>
    </row>
    <row r="473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 t="str">
        <f>Units_Data!#REF!</f>
        <v>#ERROR!</v>
      </c>
    </row>
    <row r="474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 t="str">
        <f>Units_Data!#REF!</f>
        <v>#ERROR!</v>
      </c>
    </row>
    <row r="475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 t="str">
        <f>Units_Data!#REF!</f>
        <v>#ERROR!</v>
      </c>
    </row>
    <row r="476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 t="str">
        <f>Units_Data!#REF!</f>
        <v>#ERROR!</v>
      </c>
    </row>
    <row r="477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 t="str">
        <f>Units_Data!#REF!</f>
        <v>#ERROR!</v>
      </c>
    </row>
    <row r="478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 t="str">
        <f>Units_Data!#REF!</f>
        <v>#ERROR!</v>
      </c>
    </row>
    <row r="479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 t="str">
        <f>Units_Data!#REF!</f>
        <v>#ERROR!</v>
      </c>
    </row>
    <row r="480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 t="str">
        <f>Units_Data!#REF!</f>
        <v>#ERROR!</v>
      </c>
    </row>
    <row r="481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 t="str">
        <f>Units_Data!#REF!</f>
        <v>#ERROR!</v>
      </c>
    </row>
    <row r="482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 t="str">
        <f>Units_Data!#REF!</f>
        <v>#ERROR!</v>
      </c>
    </row>
    <row r="483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 t="str">
        <f>Units_Data!#REF!</f>
        <v>#ERROR!</v>
      </c>
    </row>
    <row r="484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 t="str">
        <f>Units_Data!#REF!</f>
        <v>#ERROR!</v>
      </c>
    </row>
    <row r="485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 t="str">
        <f>Units_Data!#REF!</f>
        <v>#ERROR!</v>
      </c>
    </row>
    <row r="486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 t="str">
        <f>Units_Data!#REF!</f>
        <v>#ERROR!</v>
      </c>
    </row>
    <row r="487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 t="str">
        <f>Units_Data!#REF!</f>
        <v>#ERROR!</v>
      </c>
    </row>
    <row r="488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 t="str">
        <f>Units_Data!#REF!</f>
        <v>#ERROR!</v>
      </c>
    </row>
    <row r="489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 t="str">
        <f>Units_Data!#REF!</f>
        <v>#ERROR!</v>
      </c>
    </row>
    <row r="490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 t="str">
        <f>Units_Data!#REF!</f>
        <v>#ERROR!</v>
      </c>
    </row>
    <row r="491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 t="str">
        <f>Units_Data!#REF!</f>
        <v>#ERROR!</v>
      </c>
    </row>
    <row r="492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 t="str">
        <f>Units_Data!#REF!</f>
        <v>#ERROR!</v>
      </c>
    </row>
    <row r="493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 t="str">
        <f>Units_Data!#REF!</f>
        <v>#ERROR!</v>
      </c>
    </row>
    <row r="494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 t="str">
        <f>Units_Data!#REF!</f>
        <v>#ERROR!</v>
      </c>
    </row>
    <row r="495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 t="str">
        <f>Units_Data!#REF!</f>
        <v>#ERROR!</v>
      </c>
    </row>
    <row r="496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 t="str">
        <f>Units_Data!#REF!</f>
        <v>#ERROR!</v>
      </c>
    </row>
    <row r="497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 t="str">
        <f>Units_Data!#REF!</f>
        <v>#ERROR!</v>
      </c>
    </row>
    <row r="498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 t="str">
        <f>Units_Data!#REF!</f>
        <v>#ERROR!</v>
      </c>
    </row>
    <row r="499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 t="str">
        <f>Units_Data!#REF!</f>
        <v>#ERROR!</v>
      </c>
    </row>
    <row r="500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 t="str">
        <f>Units_Data!#REF!</f>
        <v>#ERROR!</v>
      </c>
    </row>
    <row r="501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 t="str">
        <f>Units_Data!#REF!</f>
        <v>#ERROR!</v>
      </c>
    </row>
    <row r="502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 t="str">
        <f>Units_Data!#REF!</f>
        <v>#ERROR!</v>
      </c>
    </row>
    <row r="503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 t="str">
        <f>Units_Data!#REF!</f>
        <v>#ERROR!</v>
      </c>
    </row>
    <row r="504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 t="str">
        <f>Units_Data!#REF!</f>
        <v>#ERROR!</v>
      </c>
    </row>
    <row r="505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 t="str">
        <f>Units_Data!#REF!</f>
        <v>#ERROR!</v>
      </c>
    </row>
    <row r="506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 t="str">
        <f>Units_Data!#REF!</f>
        <v>#ERROR!</v>
      </c>
    </row>
    <row r="507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 t="str">
        <f>Units_Data!#REF!</f>
        <v>#ERROR!</v>
      </c>
    </row>
    <row r="508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 t="str">
        <f>Units_Data!#REF!</f>
        <v>#ERROR!</v>
      </c>
    </row>
    <row r="509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 t="str">
        <f>Units_Data!#REF!</f>
        <v>#ERROR!</v>
      </c>
    </row>
    <row r="510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 t="str">
        <f>Units_Data!#REF!</f>
        <v>#ERROR!</v>
      </c>
    </row>
    <row r="511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 t="str">
        <f>Units_Data!#REF!</f>
        <v>#ERROR!</v>
      </c>
    </row>
    <row r="512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 t="str">
        <f>Units_Data!#REF!</f>
        <v>#ERROR!</v>
      </c>
    </row>
    <row r="513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 t="str">
        <f>Units_Data!#REF!</f>
        <v>#ERROR!</v>
      </c>
    </row>
    <row r="514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 t="str">
        <f>Units_Data!#REF!</f>
        <v>#ERROR!</v>
      </c>
    </row>
    <row r="515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 t="str">
        <f>Units_Data!#REF!</f>
        <v>#ERROR!</v>
      </c>
    </row>
    <row r="516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 t="str">
        <f>Units_Data!#REF!</f>
        <v>#ERROR!</v>
      </c>
    </row>
    <row r="517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 t="str">
        <f>Units_Data!#REF!</f>
        <v>#ERROR!</v>
      </c>
    </row>
    <row r="518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 t="str">
        <f>Units_Data!#REF!</f>
        <v>#ERROR!</v>
      </c>
    </row>
    <row r="519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 t="str">
        <f>Units_Data!#REF!</f>
        <v>#ERROR!</v>
      </c>
    </row>
    <row r="520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 t="str">
        <f>Units_Data!#REF!</f>
        <v>#ERROR!</v>
      </c>
    </row>
    <row r="521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 t="str">
        <f>Units_Data!#REF!</f>
        <v>#ERROR!</v>
      </c>
    </row>
    <row r="522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 t="str">
        <f>Units_Data!#REF!</f>
        <v>#ERROR!</v>
      </c>
    </row>
    <row r="523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 t="str">
        <f>Units_Data!#REF!</f>
        <v>#ERROR!</v>
      </c>
    </row>
    <row r="524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 t="str">
        <f>Units_Data!#REF!</f>
        <v>#ERROR!</v>
      </c>
    </row>
    <row r="525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 t="str">
        <f>Units_Data!#REF!</f>
        <v>#ERROR!</v>
      </c>
    </row>
    <row r="526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 t="str">
        <f>Units_Data!#REF!</f>
        <v>#ERROR!</v>
      </c>
    </row>
    <row r="527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 t="str">
        <f>Units_Data!#REF!</f>
        <v>#ERROR!</v>
      </c>
    </row>
    <row r="528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 t="str">
        <f>Units_Data!#REF!</f>
        <v>#ERROR!</v>
      </c>
    </row>
    <row r="529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 t="str">
        <f>Units_Data!#REF!</f>
        <v>#ERROR!</v>
      </c>
    </row>
    <row r="530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 t="str">
        <f>Units_Data!#REF!</f>
        <v>#ERROR!</v>
      </c>
    </row>
    <row r="531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 t="str">
        <f>Units_Data!#REF!</f>
        <v>#ERROR!</v>
      </c>
    </row>
    <row r="532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 t="str">
        <f>Units_Data!#REF!</f>
        <v>#ERROR!</v>
      </c>
    </row>
    <row r="533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 t="str">
        <f>Units_Data!#REF!</f>
        <v>#ERROR!</v>
      </c>
    </row>
    <row r="534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 t="str">
        <f>Units_Data!#REF!</f>
        <v>#ERROR!</v>
      </c>
    </row>
    <row r="535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 t="str">
        <f>Units_Data!#REF!</f>
        <v>#ERROR!</v>
      </c>
    </row>
    <row r="536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 t="str">
        <f>Units_Data!#REF!</f>
        <v>#ERROR!</v>
      </c>
    </row>
    <row r="537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 t="str">
        <f>Units_Data!#REF!</f>
        <v>#ERROR!</v>
      </c>
    </row>
    <row r="538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 t="str">
        <f>Units_Data!#REF!</f>
        <v>#ERROR!</v>
      </c>
    </row>
    <row r="539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 t="str">
        <f>Units_Data!#REF!</f>
        <v>#ERROR!</v>
      </c>
    </row>
    <row r="540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 t="str">
        <f>Units_Data!#REF!</f>
        <v>#ERROR!</v>
      </c>
    </row>
    <row r="541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 t="str">
        <f>Units_Data!#REF!</f>
        <v>#ERROR!</v>
      </c>
    </row>
    <row r="542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 t="str">
        <f>Units_Data!#REF!</f>
        <v>#ERROR!</v>
      </c>
    </row>
    <row r="543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 t="str">
        <f>Units_Data!#REF!</f>
        <v>#ERROR!</v>
      </c>
    </row>
    <row r="544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 t="str">
        <f>Units_Data!#REF!</f>
        <v>#ERROR!</v>
      </c>
    </row>
    <row r="545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 t="str">
        <f>Units_Data!#REF!</f>
        <v>#ERROR!</v>
      </c>
    </row>
    <row r="546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 t="str">
        <f>Units_Data!#REF!</f>
        <v>#ERROR!</v>
      </c>
    </row>
    <row r="547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 t="str">
        <f>Units_Data!#REF!</f>
        <v>#ERROR!</v>
      </c>
    </row>
    <row r="548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 t="str">
        <f>Units_Data!#REF!</f>
        <v>#ERROR!</v>
      </c>
    </row>
    <row r="549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 t="str">
        <f>Units_Data!#REF!</f>
        <v>#ERROR!</v>
      </c>
    </row>
    <row r="550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 t="str">
        <f>Units_Data!#REF!</f>
        <v>#ERROR!</v>
      </c>
    </row>
    <row r="551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 t="str">
        <f>Units_Data!#REF!</f>
        <v>#ERROR!</v>
      </c>
    </row>
    <row r="552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 t="str">
        <f>Units_Data!#REF!</f>
        <v>#ERROR!</v>
      </c>
    </row>
    <row r="553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 t="str">
        <f>Units_Data!#REF!</f>
        <v>#ERROR!</v>
      </c>
    </row>
    <row r="554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 t="str">
        <f>Units_Data!#REF!</f>
        <v>#ERROR!</v>
      </c>
    </row>
    <row r="555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 t="str">
        <f>Units_Data!#REF!</f>
        <v>#ERROR!</v>
      </c>
    </row>
    <row r="556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 t="str">
        <f>Units_Data!#REF!</f>
        <v>#ERROR!</v>
      </c>
    </row>
    <row r="557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 t="str">
        <f>Units_Data!#REF!</f>
        <v>#ERROR!</v>
      </c>
    </row>
    <row r="558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 t="str">
        <f>Units_Data!#REF!</f>
        <v>#ERROR!</v>
      </c>
    </row>
    <row r="559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 t="str">
        <f>Units_Data!#REF!</f>
        <v>#ERROR!</v>
      </c>
    </row>
    <row r="560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 t="str">
        <f>Units_Data!#REF!</f>
        <v>#ERROR!</v>
      </c>
    </row>
    <row r="561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 t="str">
        <f>Units_Data!#REF!</f>
        <v>#ERROR!</v>
      </c>
    </row>
    <row r="562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 t="str">
        <f>Units_Data!#REF!</f>
        <v>#ERROR!</v>
      </c>
    </row>
    <row r="563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 t="str">
        <f>Units_Data!#REF!</f>
        <v>#ERROR!</v>
      </c>
    </row>
    <row r="564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 t="str">
        <f>Units_Data!#REF!</f>
        <v>#ERROR!</v>
      </c>
    </row>
    <row r="565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 t="str">
        <f>Units_Data!#REF!</f>
        <v>#ERROR!</v>
      </c>
    </row>
    <row r="566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 t="str">
        <f>Units_Data!#REF!</f>
        <v>#ERROR!</v>
      </c>
    </row>
    <row r="567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 t="str">
        <f>Units_Data!#REF!</f>
        <v>#ERROR!</v>
      </c>
    </row>
    <row r="568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 t="str">
        <f>Units_Data!#REF!</f>
        <v>#ERROR!</v>
      </c>
    </row>
    <row r="569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 t="str">
        <f>Units_Data!#REF!</f>
        <v>#ERROR!</v>
      </c>
    </row>
    <row r="570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 t="str">
        <f>Units_Data!#REF!</f>
        <v>#ERROR!</v>
      </c>
    </row>
    <row r="571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 t="str">
        <f>Units_Data!#REF!</f>
        <v>#ERROR!</v>
      </c>
    </row>
    <row r="572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 t="str">
        <f>Units_Data!#REF!</f>
        <v>#ERROR!</v>
      </c>
    </row>
    <row r="573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 t="str">
        <f>Units_Data!#REF!</f>
        <v>#ERROR!</v>
      </c>
    </row>
    <row r="574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 t="str">
        <f>Units_Data!#REF!</f>
        <v>#ERROR!</v>
      </c>
    </row>
    <row r="575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 t="str">
        <f>Units_Data!#REF!</f>
        <v>#ERROR!</v>
      </c>
    </row>
    <row r="576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 t="str">
        <f>Units_Data!#REF!</f>
        <v>#ERROR!</v>
      </c>
    </row>
    <row r="577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 t="str">
        <f>Units_Data!#REF!</f>
        <v>#ERROR!</v>
      </c>
    </row>
    <row r="578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 t="str">
        <f>Units_Data!#REF!</f>
        <v>#ERROR!</v>
      </c>
    </row>
    <row r="579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 t="str">
        <f>Units_Data!#REF!</f>
        <v>#ERROR!</v>
      </c>
    </row>
    <row r="580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 t="str">
        <f>Units_Data!#REF!</f>
        <v>#ERROR!</v>
      </c>
    </row>
    <row r="581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 t="str">
        <f>Units_Data!#REF!</f>
        <v>#ERROR!</v>
      </c>
    </row>
    <row r="582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 t="str">
        <f>Units_Data!#REF!</f>
        <v>#ERROR!</v>
      </c>
    </row>
    <row r="583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 t="str">
        <f>Units_Data!#REF!</f>
        <v>#ERROR!</v>
      </c>
    </row>
    <row r="584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 t="str">
        <f>Units_Data!#REF!</f>
        <v>#ERROR!</v>
      </c>
    </row>
    <row r="585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 t="str">
        <f>Units_Data!#REF!</f>
        <v>#ERROR!</v>
      </c>
    </row>
    <row r="586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 t="str">
        <f>Units_Data!#REF!</f>
        <v>#ERROR!</v>
      </c>
    </row>
    <row r="587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 t="str">
        <f>Units_Data!#REF!</f>
        <v>#ERROR!</v>
      </c>
    </row>
    <row r="588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 t="str">
        <f>Units_Data!#REF!</f>
        <v>#ERROR!</v>
      </c>
    </row>
    <row r="589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 t="str">
        <f>Units_Data!#REF!</f>
        <v>#ERROR!</v>
      </c>
    </row>
    <row r="590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 t="str">
        <f>Units_Data!#REF!</f>
        <v>#ERROR!</v>
      </c>
    </row>
    <row r="591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 t="str">
        <f>Units_Data!#REF!</f>
        <v>#ERROR!</v>
      </c>
    </row>
    <row r="592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 t="str">
        <f>Units_Data!#REF!</f>
        <v>#ERROR!</v>
      </c>
    </row>
    <row r="593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 t="str">
        <f>Units_Data!#REF!</f>
        <v>#ERROR!</v>
      </c>
    </row>
    <row r="594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 t="str">
        <f>Units_Data!#REF!</f>
        <v>#ERROR!</v>
      </c>
    </row>
    <row r="595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 t="str">
        <f>Units_Data!#REF!</f>
        <v>#ERROR!</v>
      </c>
    </row>
    <row r="596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 t="str">
        <f>Units_Data!#REF!</f>
        <v>#ERROR!</v>
      </c>
    </row>
    <row r="597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 t="str">
        <f>Units_Data!#REF!</f>
        <v>#ERROR!</v>
      </c>
    </row>
    <row r="598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 t="str">
        <f>Units_Data!#REF!</f>
        <v>#ERROR!</v>
      </c>
    </row>
    <row r="599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 t="str">
        <f>Units_Data!#REF!</f>
        <v>#ERROR!</v>
      </c>
    </row>
    <row r="600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 t="str">
        <f>Units_Data!#REF!</f>
        <v>#ERROR!</v>
      </c>
    </row>
    <row r="601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 t="str">
        <f>Units_Data!#REF!</f>
        <v>#ERROR!</v>
      </c>
    </row>
    <row r="602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 t="str">
        <f>Units_Data!#REF!</f>
        <v>#ERROR!</v>
      </c>
    </row>
    <row r="603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 t="str">
        <f>Units_Data!#REF!</f>
        <v>#ERROR!</v>
      </c>
    </row>
    <row r="604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 t="str">
        <f>Units_Data!#REF!</f>
        <v>#ERROR!</v>
      </c>
    </row>
    <row r="605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 t="str">
        <f>Units_Data!#REF!</f>
        <v>#ERROR!</v>
      </c>
    </row>
    <row r="606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 t="str">
        <f>Units_Data!#REF!</f>
        <v>#ERROR!</v>
      </c>
    </row>
    <row r="607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 t="str">
        <f>Units_Data!#REF!</f>
        <v>#ERROR!</v>
      </c>
    </row>
    <row r="608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 t="str">
        <f>Units_Data!#REF!</f>
        <v>#ERROR!</v>
      </c>
    </row>
    <row r="609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 t="str">
        <f>Units_Data!#REF!</f>
        <v>#ERROR!</v>
      </c>
    </row>
    <row r="610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 t="str">
        <f>Units_Data!#REF!</f>
        <v>#ERROR!</v>
      </c>
    </row>
    <row r="611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 t="str">
        <f>Units_Data!#REF!</f>
        <v>#ERROR!</v>
      </c>
    </row>
    <row r="612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 t="str">
        <f>Units_Data!#REF!</f>
        <v>#ERROR!</v>
      </c>
    </row>
    <row r="613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 t="str">
        <f>Units_Data!#REF!</f>
        <v>#ERROR!</v>
      </c>
    </row>
    <row r="614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 t="str">
        <f>Units_Data!#REF!</f>
        <v>#ERROR!</v>
      </c>
    </row>
    <row r="615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 t="str">
        <f>Units_Data!#REF!</f>
        <v>#ERROR!</v>
      </c>
    </row>
    <row r="616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 t="str">
        <f>Units_Data!#REF!</f>
        <v>#ERROR!</v>
      </c>
    </row>
    <row r="617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 t="str">
        <f>Units_Data!#REF!</f>
        <v>#ERROR!</v>
      </c>
    </row>
    <row r="618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 t="str">
        <f>Units_Data!#REF!</f>
        <v>#ERROR!</v>
      </c>
    </row>
    <row r="619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 t="str">
        <f>Units_Data!#REF!</f>
        <v>#ERROR!</v>
      </c>
    </row>
    <row r="620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 t="str">
        <f>Units_Data!#REF!</f>
        <v>#ERROR!</v>
      </c>
    </row>
    <row r="621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 t="str">
        <f>Units_Data!#REF!</f>
        <v>#ERROR!</v>
      </c>
    </row>
    <row r="622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 t="str">
        <f>Units_Data!#REF!</f>
        <v>#ERROR!</v>
      </c>
    </row>
    <row r="623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 t="str">
        <f>Units_Data!#REF!</f>
        <v>#ERROR!</v>
      </c>
    </row>
    <row r="624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 t="str">
        <f>Units_Data!#REF!</f>
        <v>#ERROR!</v>
      </c>
    </row>
    <row r="625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 t="str">
        <f>Units_Data!#REF!</f>
        <v>#ERROR!</v>
      </c>
    </row>
    <row r="626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 t="str">
        <f>Units_Data!#REF!</f>
        <v>#ERROR!</v>
      </c>
    </row>
    <row r="627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 t="str">
        <f>Units_Data!#REF!</f>
        <v>#ERROR!</v>
      </c>
    </row>
    <row r="628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 t="str">
        <f>Units_Data!#REF!</f>
        <v>#ERROR!</v>
      </c>
    </row>
    <row r="629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 t="str">
        <f>Units_Data!#REF!</f>
        <v>#ERROR!</v>
      </c>
    </row>
    <row r="630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 t="str">
        <f>Units_Data!#REF!</f>
        <v>#ERROR!</v>
      </c>
    </row>
    <row r="631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 t="str">
        <f>Units_Data!#REF!</f>
        <v>#ERROR!</v>
      </c>
    </row>
    <row r="632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 t="str">
        <f>Units_Data!#REF!</f>
        <v>#ERROR!</v>
      </c>
    </row>
    <row r="633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 t="str">
        <f>Units_Data!#REF!</f>
        <v>#ERROR!</v>
      </c>
    </row>
    <row r="634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 t="str">
        <f>Units_Data!#REF!</f>
        <v>#ERROR!</v>
      </c>
    </row>
    <row r="635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 t="str">
        <f>Units_Data!#REF!</f>
        <v>#ERROR!</v>
      </c>
    </row>
    <row r="636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 t="str">
        <f>Units_Data!#REF!</f>
        <v>#ERROR!</v>
      </c>
    </row>
    <row r="637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 t="str">
        <f>Units_Data!#REF!</f>
        <v>#ERROR!</v>
      </c>
    </row>
    <row r="638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 t="str">
        <f>Units_Data!#REF!</f>
        <v>#ERROR!</v>
      </c>
    </row>
    <row r="639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 t="str">
        <f>Units_Data!#REF!</f>
        <v>#ERROR!</v>
      </c>
    </row>
    <row r="640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 t="str">
        <f>Units_Data!#REF!</f>
        <v>#ERROR!</v>
      </c>
    </row>
    <row r="641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 t="str">
        <f>Units_Data!#REF!</f>
        <v>#ERROR!</v>
      </c>
    </row>
    <row r="642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 t="str">
        <f>Units_Data!#REF!</f>
        <v>#ERROR!</v>
      </c>
    </row>
    <row r="643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 t="str">
        <f>Units_Data!#REF!</f>
        <v>#ERROR!</v>
      </c>
    </row>
    <row r="644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 t="str">
        <f>Units_Data!#REF!</f>
        <v>#ERROR!</v>
      </c>
    </row>
    <row r="645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 t="str">
        <f>Units_Data!#REF!</f>
        <v>#ERROR!</v>
      </c>
    </row>
    <row r="646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 t="str">
        <f>Units_Data!#REF!</f>
        <v>#ERROR!</v>
      </c>
    </row>
    <row r="647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 t="str">
        <f>Units_Data!#REF!</f>
        <v>#ERROR!</v>
      </c>
    </row>
    <row r="648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 t="str">
        <f>Units_Data!#REF!</f>
        <v>#ERROR!</v>
      </c>
    </row>
    <row r="649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 t="str">
        <f>Units_Data!#REF!</f>
        <v>#ERROR!</v>
      </c>
    </row>
    <row r="650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 t="str">
        <f>Units_Data!#REF!</f>
        <v>#ERROR!</v>
      </c>
    </row>
    <row r="651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 t="str">
        <f>Units_Data!#REF!</f>
        <v>#ERROR!</v>
      </c>
    </row>
    <row r="652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 t="str">
        <f>Units_Data!#REF!</f>
        <v>#ERROR!</v>
      </c>
    </row>
    <row r="653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 t="str">
        <f>Units_Data!#REF!</f>
        <v>#ERROR!</v>
      </c>
    </row>
    <row r="654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 t="str">
        <f>Units_Data!#REF!</f>
        <v>#ERROR!</v>
      </c>
    </row>
    <row r="655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 t="str">
        <f>Units_Data!#REF!</f>
        <v>#ERROR!</v>
      </c>
    </row>
    <row r="656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 t="str">
        <f>Units_Data!#REF!</f>
        <v>#ERROR!</v>
      </c>
    </row>
    <row r="657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 t="str">
        <f>Units_Data!#REF!</f>
        <v>#ERROR!</v>
      </c>
    </row>
    <row r="658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 t="str">
        <f>Units_Data!#REF!</f>
        <v>#ERROR!</v>
      </c>
    </row>
    <row r="659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 t="str">
        <f>Units_Data!#REF!</f>
        <v>#ERROR!</v>
      </c>
    </row>
    <row r="660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 t="str">
        <f>Units_Data!#REF!</f>
        <v>#ERROR!</v>
      </c>
    </row>
    <row r="661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 t="str">
        <f>Units_Data!#REF!</f>
        <v>#ERROR!</v>
      </c>
    </row>
    <row r="662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 t="str">
        <f>Units_Data!#REF!</f>
        <v>#ERROR!</v>
      </c>
    </row>
    <row r="663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 t="str">
        <f>Units_Data!#REF!</f>
        <v>#ERROR!</v>
      </c>
    </row>
    <row r="664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 t="str">
        <f>Units_Data!#REF!</f>
        <v>#ERROR!</v>
      </c>
    </row>
    <row r="665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 t="str">
        <f>Units_Data!#REF!</f>
        <v>#ERROR!</v>
      </c>
    </row>
    <row r="666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 t="str">
        <f>Units_Data!#REF!</f>
        <v>#ERROR!</v>
      </c>
    </row>
    <row r="667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 t="str">
        <f>Units_Data!#REF!</f>
        <v>#ERROR!</v>
      </c>
    </row>
    <row r="668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 t="str">
        <f>Units_Data!#REF!</f>
        <v>#ERROR!</v>
      </c>
    </row>
    <row r="669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 t="str">
        <f>Units_Data!#REF!</f>
        <v>#ERROR!</v>
      </c>
    </row>
    <row r="670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 t="str">
        <f>Units_Data!#REF!</f>
        <v>#ERROR!</v>
      </c>
    </row>
    <row r="671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 t="str">
        <f>Units_Data!#REF!</f>
        <v>#ERROR!</v>
      </c>
    </row>
    <row r="672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 t="str">
        <f>Units_Data!#REF!</f>
        <v>#ERROR!</v>
      </c>
    </row>
    <row r="673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 t="str">
        <f>Units_Data!#REF!</f>
        <v>#ERROR!</v>
      </c>
    </row>
    <row r="674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 t="str">
        <f>Units_Data!#REF!</f>
        <v>#ERROR!</v>
      </c>
    </row>
    <row r="675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 t="str">
        <f>Units_Data!#REF!</f>
        <v>#ERROR!</v>
      </c>
    </row>
    <row r="676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 t="str">
        <f>Units_Data!#REF!</f>
        <v>#ERROR!</v>
      </c>
    </row>
    <row r="677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 t="str">
        <f>Units_Data!#REF!</f>
        <v>#ERROR!</v>
      </c>
    </row>
    <row r="678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 t="str">
        <f>Units_Data!#REF!</f>
        <v>#ERROR!</v>
      </c>
    </row>
    <row r="679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 t="str">
        <f>Units_Data!#REF!</f>
        <v>#ERROR!</v>
      </c>
    </row>
    <row r="680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 t="str">
        <f>Units_Data!#REF!</f>
        <v>#ERROR!</v>
      </c>
    </row>
    <row r="681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 t="str">
        <f>Units_Data!#REF!</f>
        <v>#ERROR!</v>
      </c>
    </row>
    <row r="682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 t="str">
        <f>Units_Data!#REF!</f>
        <v>#ERROR!</v>
      </c>
    </row>
    <row r="683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 t="str">
        <f>Units_Data!#REF!</f>
        <v>#ERROR!</v>
      </c>
    </row>
    <row r="684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 t="str">
        <f>Units_Data!#REF!</f>
        <v>#ERROR!</v>
      </c>
    </row>
    <row r="685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 t="str">
        <f>Units_Data!#REF!</f>
        <v>#ERROR!</v>
      </c>
    </row>
    <row r="686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 t="str">
        <f>Units_Data!#REF!</f>
        <v>#ERROR!</v>
      </c>
    </row>
    <row r="687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 t="str">
        <f>Units_Data!#REF!</f>
        <v>#ERROR!</v>
      </c>
    </row>
    <row r="688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 t="str">
        <f>Units_Data!#REF!</f>
        <v>#ERROR!</v>
      </c>
    </row>
    <row r="689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 t="str">
        <f>Units_Data!#REF!</f>
        <v>#ERROR!</v>
      </c>
    </row>
    <row r="690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 t="str">
        <f>Units_Data!#REF!</f>
        <v>#ERROR!</v>
      </c>
    </row>
    <row r="691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 t="str">
        <f>Units_Data!#REF!</f>
        <v>#ERROR!</v>
      </c>
    </row>
    <row r="692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 t="str">
        <f>Units_Data!#REF!</f>
        <v>#ERROR!</v>
      </c>
    </row>
    <row r="693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 t="str">
        <f>Units_Data!#REF!</f>
        <v>#ERROR!</v>
      </c>
    </row>
    <row r="694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 t="str">
        <f>Units_Data!#REF!</f>
        <v>#ERROR!</v>
      </c>
    </row>
    <row r="695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 t="str">
        <f>Units_Data!#REF!</f>
        <v>#ERROR!</v>
      </c>
    </row>
    <row r="696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 t="str">
        <f>Units_Data!#REF!</f>
        <v>#ERROR!</v>
      </c>
    </row>
    <row r="697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 t="str">
        <f>Units_Data!#REF!</f>
        <v>#ERROR!</v>
      </c>
    </row>
    <row r="698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 t="str">
        <f>Units_Data!#REF!</f>
        <v>#ERROR!</v>
      </c>
    </row>
    <row r="699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 t="str">
        <f>Units_Data!#REF!</f>
        <v>#ERROR!</v>
      </c>
    </row>
    <row r="700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 t="str">
        <f>Units_Data!#REF!</f>
        <v>#ERROR!</v>
      </c>
    </row>
    <row r="701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 t="str">
        <f>Units_Data!#REF!</f>
        <v>#ERROR!</v>
      </c>
    </row>
    <row r="702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 t="str">
        <f>Units_Data!#REF!</f>
        <v>#ERROR!</v>
      </c>
    </row>
    <row r="703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 t="str">
        <f>Units_Data!#REF!</f>
        <v>#ERROR!</v>
      </c>
    </row>
    <row r="704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 t="str">
        <f>Units_Data!#REF!</f>
        <v>#ERROR!</v>
      </c>
    </row>
    <row r="705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 t="str">
        <f>Units_Data!#REF!</f>
        <v>#ERROR!</v>
      </c>
    </row>
    <row r="706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 t="str">
        <f>Units_Data!#REF!</f>
        <v>#ERROR!</v>
      </c>
    </row>
    <row r="707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 t="str">
        <f>Units_Data!#REF!</f>
        <v>#ERROR!</v>
      </c>
    </row>
    <row r="708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 t="str">
        <f>Units_Data!#REF!</f>
        <v>#ERROR!</v>
      </c>
    </row>
    <row r="709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 t="str">
        <f>Units_Data!#REF!</f>
        <v>#ERROR!</v>
      </c>
    </row>
    <row r="710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 t="str">
        <f>Units_Data!#REF!</f>
        <v>#ERROR!</v>
      </c>
    </row>
    <row r="711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 t="str">
        <f>Units_Data!#REF!</f>
        <v>#ERROR!</v>
      </c>
    </row>
    <row r="712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 t="str">
        <f>Units_Data!#REF!</f>
        <v>#ERROR!</v>
      </c>
    </row>
    <row r="713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 t="str">
        <f>Units_Data!#REF!</f>
        <v>#ERROR!</v>
      </c>
    </row>
    <row r="714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 t="str">
        <f>Units_Data!#REF!</f>
        <v>#ERROR!</v>
      </c>
    </row>
    <row r="715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 t="str">
        <f>Units_Data!#REF!</f>
        <v>#ERROR!</v>
      </c>
    </row>
    <row r="716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 t="str">
        <f>Units_Data!#REF!</f>
        <v>#ERROR!</v>
      </c>
    </row>
    <row r="717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 t="str">
        <f>Units_Data!#REF!</f>
        <v>#ERROR!</v>
      </c>
    </row>
    <row r="718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 t="str">
        <f>Units_Data!#REF!</f>
        <v>#ERROR!</v>
      </c>
    </row>
    <row r="719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 t="str">
        <f>Units_Data!#REF!</f>
        <v>#ERROR!</v>
      </c>
    </row>
    <row r="720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 t="str">
        <f>Units_Data!#REF!</f>
        <v>#ERROR!</v>
      </c>
    </row>
    <row r="721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 t="str">
        <f>Units_Data!#REF!</f>
        <v>#ERROR!</v>
      </c>
    </row>
    <row r="722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 t="str">
        <f>Units_Data!#REF!</f>
        <v>#ERROR!</v>
      </c>
    </row>
    <row r="723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 t="str">
        <f>Units_Data!#REF!</f>
        <v>#ERROR!</v>
      </c>
    </row>
    <row r="724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 t="str">
        <f>Units_Data!#REF!</f>
        <v>#ERROR!</v>
      </c>
    </row>
    <row r="725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 t="str">
        <f>Units_Data!#REF!</f>
        <v>#ERROR!</v>
      </c>
    </row>
    <row r="726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 t="str">
        <f>Units_Data!#REF!</f>
        <v>#ERROR!</v>
      </c>
    </row>
    <row r="727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 t="str">
        <f>Units_Data!#REF!</f>
        <v>#ERROR!</v>
      </c>
    </row>
    <row r="728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 t="str">
        <f>Units_Data!#REF!</f>
        <v>#ERROR!</v>
      </c>
    </row>
    <row r="729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 t="str">
        <f>Units_Data!#REF!</f>
        <v>#ERROR!</v>
      </c>
    </row>
    <row r="730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 t="str">
        <f>Units_Data!#REF!</f>
        <v>#ERROR!</v>
      </c>
    </row>
    <row r="731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 t="str">
        <f>Units_Data!#REF!</f>
        <v>#ERROR!</v>
      </c>
    </row>
    <row r="732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 t="str">
        <f>Units_Data!#REF!</f>
        <v>#ERROR!</v>
      </c>
    </row>
    <row r="733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 t="str">
        <f>Units_Data!#REF!</f>
        <v>#ERROR!</v>
      </c>
    </row>
    <row r="734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 t="str">
        <f>Units_Data!#REF!</f>
        <v>#ERROR!</v>
      </c>
    </row>
    <row r="735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 t="str">
        <f>Units_Data!#REF!</f>
        <v>#ERROR!</v>
      </c>
    </row>
    <row r="736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 t="str">
        <f>Units_Data!#REF!</f>
        <v>#ERROR!</v>
      </c>
    </row>
    <row r="737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 t="str">
        <f>Units_Data!#REF!</f>
        <v>#ERROR!</v>
      </c>
    </row>
    <row r="738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 t="str">
        <f>Units_Data!#REF!</f>
        <v>#ERROR!</v>
      </c>
    </row>
    <row r="739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 t="str">
        <f>Units_Data!#REF!</f>
        <v>#ERROR!</v>
      </c>
    </row>
    <row r="740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 t="str">
        <f>Units_Data!#REF!</f>
        <v>#ERROR!</v>
      </c>
    </row>
    <row r="741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 t="str">
        <f>Units_Data!#REF!</f>
        <v>#ERROR!</v>
      </c>
    </row>
    <row r="742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 t="str">
        <f>Units_Data!#REF!</f>
        <v>#ERROR!</v>
      </c>
    </row>
    <row r="743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 t="str">
        <f>Units_Data!#REF!</f>
        <v>#ERROR!</v>
      </c>
    </row>
    <row r="744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 t="str">
        <f>Units_Data!#REF!</f>
        <v>#ERROR!</v>
      </c>
    </row>
    <row r="745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 t="str">
        <f>Units_Data!#REF!</f>
        <v>#ERROR!</v>
      </c>
    </row>
    <row r="746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 t="str">
        <f>Units_Data!#REF!</f>
        <v>#ERROR!</v>
      </c>
    </row>
    <row r="747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 t="str">
        <f>Units_Data!#REF!</f>
        <v>#ERROR!</v>
      </c>
    </row>
    <row r="748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 t="str">
        <f>Units_Data!#REF!</f>
        <v>#ERROR!</v>
      </c>
    </row>
    <row r="749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 t="str">
        <f>Units_Data!#REF!</f>
        <v>#ERROR!</v>
      </c>
    </row>
    <row r="750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 t="str">
        <f>Units_Data!#REF!</f>
        <v>#ERROR!</v>
      </c>
    </row>
    <row r="751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 t="str">
        <f>Units_Data!#REF!</f>
        <v>#ERROR!</v>
      </c>
    </row>
    <row r="752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 t="str">
        <f>Units_Data!#REF!</f>
        <v>#ERROR!</v>
      </c>
    </row>
    <row r="753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 t="str">
        <f>Units_Data!#REF!</f>
        <v>#ERROR!</v>
      </c>
    </row>
    <row r="754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 t="str">
        <f>Units_Data!#REF!</f>
        <v>#ERROR!</v>
      </c>
    </row>
    <row r="755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 t="str">
        <f>Units_Data!#REF!</f>
        <v>#ERROR!</v>
      </c>
    </row>
    <row r="756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 t="str">
        <f>Units_Data!#REF!</f>
        <v>#ERROR!</v>
      </c>
    </row>
    <row r="757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 t="str">
        <f>Units_Data!#REF!</f>
        <v>#ERROR!</v>
      </c>
    </row>
    <row r="758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 t="str">
        <f>Units_Data!#REF!</f>
        <v>#ERROR!</v>
      </c>
    </row>
    <row r="759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 t="str">
        <f>Units_Data!#REF!</f>
        <v>#ERROR!</v>
      </c>
    </row>
    <row r="760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 t="str">
        <f>Units_Data!#REF!</f>
        <v>#ERROR!</v>
      </c>
    </row>
    <row r="761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 t="str">
        <f>Units_Data!#REF!</f>
        <v>#ERROR!</v>
      </c>
    </row>
    <row r="762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 t="str">
        <f>Units_Data!#REF!</f>
        <v>#ERROR!</v>
      </c>
    </row>
    <row r="763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 t="str">
        <f>Units_Data!#REF!</f>
        <v>#ERROR!</v>
      </c>
    </row>
    <row r="764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 t="str">
        <f>Units_Data!#REF!</f>
        <v>#ERROR!</v>
      </c>
    </row>
    <row r="765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 t="str">
        <f>Units_Data!#REF!</f>
        <v>#ERROR!</v>
      </c>
    </row>
    <row r="766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 t="str">
        <f>Units_Data!#REF!</f>
        <v>#ERROR!</v>
      </c>
    </row>
    <row r="767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 t="str">
        <f>Units_Data!#REF!</f>
        <v>#ERROR!</v>
      </c>
    </row>
    <row r="768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 t="str">
        <f>Units_Data!#REF!</f>
        <v>#ERROR!</v>
      </c>
    </row>
    <row r="769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 t="str">
        <f>Units_Data!#REF!</f>
        <v>#ERROR!</v>
      </c>
    </row>
    <row r="770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 t="str">
        <f>Units_Data!#REF!</f>
        <v>#ERROR!</v>
      </c>
    </row>
    <row r="771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 t="str">
        <f>Units_Data!#REF!</f>
        <v>#ERROR!</v>
      </c>
    </row>
    <row r="772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 t="str">
        <f>Units_Data!#REF!</f>
        <v>#ERROR!</v>
      </c>
    </row>
    <row r="773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 t="str">
        <f>Units_Data!#REF!</f>
        <v>#ERROR!</v>
      </c>
    </row>
    <row r="774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 t="str">
        <f>Units_Data!#REF!</f>
        <v>#ERROR!</v>
      </c>
    </row>
    <row r="775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 t="str">
        <f>Units_Data!#REF!</f>
        <v>#ERROR!</v>
      </c>
    </row>
    <row r="776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 t="str">
        <f>Units_Data!#REF!</f>
        <v>#ERROR!</v>
      </c>
    </row>
    <row r="777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 t="str">
        <f>Units_Data!#REF!</f>
        <v>#ERROR!</v>
      </c>
    </row>
    <row r="778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 t="str">
        <f>Units_Data!#REF!</f>
        <v>#ERROR!</v>
      </c>
    </row>
    <row r="779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 t="str">
        <f>Units_Data!#REF!</f>
        <v>#ERROR!</v>
      </c>
    </row>
    <row r="780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 t="str">
        <f>Units_Data!#REF!</f>
        <v>#ERROR!</v>
      </c>
    </row>
    <row r="781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 t="str">
        <f>Units_Data!#REF!</f>
        <v>#ERROR!</v>
      </c>
    </row>
    <row r="782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 t="str">
        <f>Units_Data!#REF!</f>
        <v>#ERROR!</v>
      </c>
    </row>
    <row r="783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 t="str">
        <f>Units_Data!#REF!</f>
        <v>#ERROR!</v>
      </c>
    </row>
    <row r="784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 t="str">
        <f>Units_Data!#REF!</f>
        <v>#ERROR!</v>
      </c>
    </row>
    <row r="785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 t="str">
        <f>Units_Data!#REF!</f>
        <v>#ERROR!</v>
      </c>
    </row>
    <row r="786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 t="str">
        <f>Units_Data!#REF!</f>
        <v>#ERROR!</v>
      </c>
    </row>
    <row r="787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 t="str">
        <f>Units_Data!#REF!</f>
        <v>#ERROR!</v>
      </c>
    </row>
    <row r="788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 t="str">
        <f>Units_Data!#REF!</f>
        <v>#ERROR!</v>
      </c>
    </row>
    <row r="789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 t="str">
        <f>Units_Data!#REF!</f>
        <v>#ERROR!</v>
      </c>
    </row>
    <row r="790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 t="str">
        <f>Units_Data!#REF!</f>
        <v>#ERROR!</v>
      </c>
    </row>
    <row r="791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 t="str">
        <f>Units_Data!#REF!</f>
        <v>#ERROR!</v>
      </c>
    </row>
    <row r="792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 t="str">
        <f>Units_Data!#REF!</f>
        <v>#ERROR!</v>
      </c>
    </row>
    <row r="793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 t="str">
        <f>Units_Data!#REF!</f>
        <v>#ERROR!</v>
      </c>
    </row>
    <row r="794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 t="str">
        <f>Units_Data!#REF!</f>
        <v>#ERROR!</v>
      </c>
    </row>
    <row r="795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 t="str">
        <f>Units_Data!#REF!</f>
        <v>#ERROR!</v>
      </c>
    </row>
    <row r="796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 t="str">
        <f>Units_Data!#REF!</f>
        <v>#ERROR!</v>
      </c>
    </row>
    <row r="797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 t="str">
        <f>Units_Data!#REF!</f>
        <v>#ERROR!</v>
      </c>
    </row>
    <row r="798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 t="str">
        <f>Units_Data!#REF!</f>
        <v>#ERROR!</v>
      </c>
    </row>
    <row r="799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 t="str">
        <f>Units_Data!#REF!</f>
        <v>#ERROR!</v>
      </c>
    </row>
    <row r="800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 t="str">
        <f>Units_Data!#REF!</f>
        <v>#ERROR!</v>
      </c>
    </row>
    <row r="801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 t="str">
        <f>Units_Data!#REF!</f>
        <v>#ERROR!</v>
      </c>
    </row>
    <row r="802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 t="str">
        <f>Units_Data!#REF!</f>
        <v>#ERROR!</v>
      </c>
    </row>
    <row r="803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 t="str">
        <f>Units_Data!#REF!</f>
        <v>#ERROR!</v>
      </c>
    </row>
    <row r="804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 t="str">
        <f>Units_Data!#REF!</f>
        <v>#ERROR!</v>
      </c>
    </row>
    <row r="805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 t="str">
        <f>Units_Data!#REF!</f>
        <v>#ERROR!</v>
      </c>
    </row>
    <row r="806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 t="str">
        <f>Units_Data!#REF!</f>
        <v>#ERROR!</v>
      </c>
    </row>
    <row r="807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 t="str">
        <f>Units_Data!#REF!</f>
        <v>#ERROR!</v>
      </c>
    </row>
    <row r="808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 t="str">
        <f>Units_Data!#REF!</f>
        <v>#ERROR!</v>
      </c>
    </row>
    <row r="809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 t="str">
        <f>Units_Data!#REF!</f>
        <v>#ERROR!</v>
      </c>
    </row>
    <row r="810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 t="str">
        <f>Units_Data!#REF!</f>
        <v>#ERROR!</v>
      </c>
    </row>
    <row r="811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 t="str">
        <f>Units_Data!#REF!</f>
        <v>#ERROR!</v>
      </c>
    </row>
    <row r="812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 t="str">
        <f>Units_Data!#REF!</f>
        <v>#ERROR!</v>
      </c>
    </row>
    <row r="813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 t="str">
        <f>Units_Data!#REF!</f>
        <v>#ERROR!</v>
      </c>
    </row>
    <row r="814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 t="str">
        <f>Units_Data!#REF!</f>
        <v>#ERROR!</v>
      </c>
    </row>
    <row r="815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 t="str">
        <f>Units_Data!#REF!</f>
        <v>#ERROR!</v>
      </c>
    </row>
    <row r="816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 t="str">
        <f>Units_Data!#REF!</f>
        <v>#ERROR!</v>
      </c>
    </row>
    <row r="817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 t="str">
        <f>Units_Data!#REF!</f>
        <v>#ERROR!</v>
      </c>
    </row>
    <row r="818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 t="str">
        <f>Units_Data!#REF!</f>
        <v>#ERROR!</v>
      </c>
    </row>
    <row r="819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 t="str">
        <f>Units_Data!#REF!</f>
        <v>#ERROR!</v>
      </c>
    </row>
    <row r="820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 t="str">
        <f>Units_Data!#REF!</f>
        <v>#ERROR!</v>
      </c>
    </row>
    <row r="821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 t="str">
        <f>Units_Data!#REF!</f>
        <v>#ERROR!</v>
      </c>
    </row>
    <row r="822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 t="str">
        <f>Units_Data!#REF!</f>
        <v>#ERROR!</v>
      </c>
    </row>
    <row r="823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 t="str">
        <f>Units_Data!#REF!</f>
        <v>#ERROR!</v>
      </c>
    </row>
    <row r="824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 t="str">
        <f>Units_Data!#REF!</f>
        <v>#ERROR!</v>
      </c>
    </row>
    <row r="825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 t="str">
        <f>Units_Data!#REF!</f>
        <v>#ERROR!</v>
      </c>
    </row>
    <row r="826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 t="str">
        <f>Units_Data!#REF!</f>
        <v>#ERROR!</v>
      </c>
    </row>
    <row r="827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 t="str">
        <f>Units_Data!#REF!</f>
        <v>#ERROR!</v>
      </c>
    </row>
    <row r="828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 t="str">
        <f>Units_Data!#REF!</f>
        <v>#ERROR!</v>
      </c>
    </row>
    <row r="829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 t="str">
        <f>Units_Data!#REF!</f>
        <v>#ERROR!</v>
      </c>
    </row>
    <row r="830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 t="str">
        <f>Units_Data!#REF!</f>
        <v>#ERROR!</v>
      </c>
    </row>
    <row r="831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 t="str">
        <f>Units_Data!#REF!</f>
        <v>#ERROR!</v>
      </c>
    </row>
    <row r="832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 t="str">
        <f>Units_Data!#REF!</f>
        <v>#ERROR!</v>
      </c>
    </row>
    <row r="833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 t="str">
        <f>Units_Data!#REF!</f>
        <v>#ERROR!</v>
      </c>
    </row>
    <row r="834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 t="str">
        <f>Units_Data!#REF!</f>
        <v>#ERROR!</v>
      </c>
    </row>
    <row r="835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 t="str">
        <f>Units_Data!#REF!</f>
        <v>#ERROR!</v>
      </c>
    </row>
    <row r="836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 t="str">
        <f>Units_Data!#REF!</f>
        <v>#ERROR!</v>
      </c>
    </row>
    <row r="837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 t="str">
        <f>Units_Data!#REF!</f>
        <v>#ERROR!</v>
      </c>
    </row>
    <row r="838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 t="str">
        <f>Units_Data!#REF!</f>
        <v>#ERROR!</v>
      </c>
    </row>
    <row r="839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 t="str">
        <f>Units_Data!#REF!</f>
        <v>#ERROR!</v>
      </c>
    </row>
    <row r="840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 t="str">
        <f>Units_Data!#REF!</f>
        <v>#ERROR!</v>
      </c>
    </row>
    <row r="841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 t="str">
        <f>Units_Data!#REF!</f>
        <v>#ERROR!</v>
      </c>
    </row>
    <row r="842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 t="str">
        <f>Units_Data!#REF!</f>
        <v>#ERROR!</v>
      </c>
    </row>
    <row r="843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 t="str">
        <f>Units_Data!#REF!</f>
        <v>#ERROR!</v>
      </c>
    </row>
    <row r="844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 t="str">
        <f>Units_Data!#REF!</f>
        <v>#ERROR!</v>
      </c>
    </row>
    <row r="845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 t="str">
        <f>Units_Data!#REF!</f>
        <v>#ERROR!</v>
      </c>
    </row>
    <row r="846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 t="str">
        <f>Units_Data!#REF!</f>
        <v>#ERROR!</v>
      </c>
    </row>
    <row r="847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 t="str">
        <f>Units_Data!#REF!</f>
        <v>#ERROR!</v>
      </c>
    </row>
    <row r="848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 t="str">
        <f>Units_Data!#REF!</f>
        <v>#ERROR!</v>
      </c>
    </row>
    <row r="849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 t="str">
        <f>Units_Data!#REF!</f>
        <v>#ERROR!</v>
      </c>
    </row>
    <row r="850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 t="str">
        <f>Units_Data!#REF!</f>
        <v>#ERROR!</v>
      </c>
    </row>
    <row r="851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 t="str">
        <f>Units_Data!#REF!</f>
        <v>#ERROR!</v>
      </c>
    </row>
    <row r="852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 t="str">
        <f>Units_Data!#REF!</f>
        <v>#ERROR!</v>
      </c>
    </row>
    <row r="853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 t="str">
        <f>Units_Data!#REF!</f>
        <v>#ERROR!</v>
      </c>
    </row>
    <row r="854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 t="str">
        <f>Units_Data!#REF!</f>
        <v>#ERROR!</v>
      </c>
    </row>
    <row r="855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 t="str">
        <f>Units_Data!#REF!</f>
        <v>#ERROR!</v>
      </c>
    </row>
    <row r="856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 t="str">
        <f>Units_Data!#REF!</f>
        <v>#ERROR!</v>
      </c>
    </row>
    <row r="857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 t="str">
        <f>Units_Data!#REF!</f>
        <v>#ERROR!</v>
      </c>
    </row>
    <row r="858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 t="str">
        <f>Units_Data!#REF!</f>
        <v>#ERROR!</v>
      </c>
    </row>
    <row r="859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 t="str">
        <f>Units_Data!#REF!</f>
        <v>#ERROR!</v>
      </c>
    </row>
    <row r="860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 t="str">
        <f>Units_Data!#REF!</f>
        <v>#ERROR!</v>
      </c>
    </row>
    <row r="861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 t="str">
        <f>Units_Data!#REF!</f>
        <v>#ERROR!</v>
      </c>
    </row>
    <row r="862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 t="str">
        <f>Units_Data!#REF!</f>
        <v>#ERROR!</v>
      </c>
    </row>
    <row r="863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 t="str">
        <f>Units_Data!#REF!</f>
        <v>#ERROR!</v>
      </c>
    </row>
    <row r="864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 t="str">
        <f>Units_Data!#REF!</f>
        <v>#ERROR!</v>
      </c>
    </row>
    <row r="865" ht="15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 t="str">
        <f>Units_Data!#REF!</f>
        <v>#ERROR!</v>
      </c>
    </row>
    <row r="866" ht="15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 t="str">
        <f>Units_Data!#REF!</f>
        <v>#ERROR!</v>
      </c>
    </row>
    <row r="867" ht="15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 t="str">
        <f>Units_Data!#REF!</f>
        <v>#ERROR!</v>
      </c>
    </row>
    <row r="868" ht="15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 t="str">
        <f>Units_Data!#REF!</f>
        <v>#ERROR!</v>
      </c>
    </row>
    <row r="869" ht="15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 t="str">
        <f>Units_Data!#REF!</f>
        <v>#ERROR!</v>
      </c>
    </row>
    <row r="870" ht="15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 t="str">
        <f>Units_Data!#REF!</f>
        <v>#ERROR!</v>
      </c>
    </row>
    <row r="871" ht="15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 t="str">
        <f>Units_Data!#REF!</f>
        <v>#ERROR!</v>
      </c>
    </row>
    <row r="872" ht="15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 t="str">
        <f>Units_Data!#REF!</f>
        <v>#ERROR!</v>
      </c>
    </row>
    <row r="873" ht="15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 t="str">
        <f>Units_Data!#REF!</f>
        <v>#ERROR!</v>
      </c>
    </row>
    <row r="874" ht="15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 t="str">
        <f>Units_Data!#REF!</f>
        <v>#ERROR!</v>
      </c>
    </row>
    <row r="875" ht="15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 t="str">
        <f>Units_Data!#REF!</f>
        <v>#ERROR!</v>
      </c>
    </row>
    <row r="876" ht="15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 t="str">
        <f>Units_Data!#REF!</f>
        <v>#ERROR!</v>
      </c>
    </row>
    <row r="877" ht="15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 t="str">
        <f>Units_Data!#REF!</f>
        <v>#ERROR!</v>
      </c>
    </row>
    <row r="878" ht="15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 t="str">
        <f>Units_Data!#REF!</f>
        <v>#ERROR!</v>
      </c>
    </row>
    <row r="879" ht="15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 t="str">
        <f>Units_Data!#REF!</f>
        <v>#ERROR!</v>
      </c>
    </row>
    <row r="880" ht="15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 t="str">
        <f>Units_Data!#REF!</f>
        <v>#ERROR!</v>
      </c>
    </row>
    <row r="881" ht="15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 t="str">
        <f>Units_Data!#REF!</f>
        <v>#ERROR!</v>
      </c>
    </row>
    <row r="882" ht="15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 t="str">
        <f>Units_Data!#REF!</f>
        <v>#ERROR!</v>
      </c>
    </row>
    <row r="883" ht="15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 t="str">
        <f>Units_Data!#REF!</f>
        <v>#ERROR!</v>
      </c>
    </row>
    <row r="884" ht="15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 t="str">
        <f>Units_Data!#REF!</f>
        <v>#ERROR!</v>
      </c>
    </row>
    <row r="885" ht="15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 t="str">
        <f>Units_Data!#REF!</f>
        <v>#ERROR!</v>
      </c>
    </row>
    <row r="886" ht="15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 t="str">
        <f>Units_Data!#REF!</f>
        <v>#ERROR!</v>
      </c>
    </row>
    <row r="887" ht="15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 t="str">
        <f>Units_Data!#REF!</f>
        <v>#ERROR!</v>
      </c>
    </row>
    <row r="888" ht="15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 t="str">
        <f>Units_Data!#REF!</f>
        <v>#ERROR!</v>
      </c>
    </row>
    <row r="889" ht="15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 t="str">
        <f>Units_Data!#REF!</f>
        <v>#ERROR!</v>
      </c>
    </row>
    <row r="890" ht="15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 t="str">
        <f>Units_Data!#REF!</f>
        <v>#ERROR!</v>
      </c>
    </row>
    <row r="891" ht="15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 t="str">
        <f>Units_Data!#REF!</f>
        <v>#ERROR!</v>
      </c>
    </row>
    <row r="892" ht="15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 t="str">
        <f>Units_Data!#REF!</f>
        <v>#ERROR!</v>
      </c>
    </row>
    <row r="893" ht="15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 t="str">
        <f>Units_Data!#REF!</f>
        <v>#ERROR!</v>
      </c>
    </row>
    <row r="894" ht="15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 t="str">
        <f>Units_Data!#REF!</f>
        <v>#ERROR!</v>
      </c>
    </row>
    <row r="895" ht="15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 t="str">
        <f>Units_Data!#REF!</f>
        <v>#ERROR!</v>
      </c>
    </row>
    <row r="896" ht="15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 t="str">
        <f>Units_Data!#REF!</f>
        <v>#ERROR!</v>
      </c>
    </row>
    <row r="897" ht="15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 t="str">
        <f>Units_Data!#REF!</f>
        <v>#ERROR!</v>
      </c>
    </row>
    <row r="898" ht="15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 t="str">
        <f>Units_Data!#REF!</f>
        <v>#ERROR!</v>
      </c>
    </row>
    <row r="899" ht="15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 t="str">
        <f>Units_Data!#REF!</f>
        <v>#ERROR!</v>
      </c>
    </row>
    <row r="900" ht="15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 t="str">
        <f>Units_Data!#REF!</f>
        <v>#ERROR!</v>
      </c>
    </row>
    <row r="901" ht="15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 t="str">
        <f>Units_Data!#REF!</f>
        <v>#ERROR!</v>
      </c>
    </row>
    <row r="902" ht="15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 t="str">
        <f>Units_Data!#REF!</f>
        <v>#ERROR!</v>
      </c>
    </row>
    <row r="903" ht="15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 t="str">
        <f>Units_Data!#REF!</f>
        <v>#ERROR!</v>
      </c>
    </row>
    <row r="904" ht="15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 t="str">
        <f>Units_Data!#REF!</f>
        <v>#ERROR!</v>
      </c>
    </row>
    <row r="905" ht="15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 t="str">
        <f>Units_Data!#REF!</f>
        <v>#ERROR!</v>
      </c>
    </row>
    <row r="906" ht="15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 t="str">
        <f>Units_Data!#REF!</f>
        <v>#ERROR!</v>
      </c>
    </row>
    <row r="907" ht="15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 t="str">
        <f>Units_Data!#REF!</f>
        <v>#ERROR!</v>
      </c>
    </row>
    <row r="908" ht="15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 t="str">
        <f>Units_Data!#REF!</f>
        <v>#ERROR!</v>
      </c>
    </row>
    <row r="909" ht="15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 t="str">
        <f>Units_Data!#REF!</f>
        <v>#ERROR!</v>
      </c>
    </row>
    <row r="910" ht="15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 t="str">
        <f>Units_Data!#REF!</f>
        <v>#ERROR!</v>
      </c>
    </row>
    <row r="911" ht="15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 t="str">
        <f>Units_Data!#REF!</f>
        <v>#ERROR!</v>
      </c>
    </row>
    <row r="912" ht="15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 t="str">
        <f>Units_Data!#REF!</f>
        <v>#ERROR!</v>
      </c>
    </row>
    <row r="913" ht="15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 t="str">
        <f>Units_Data!#REF!</f>
        <v>#ERROR!</v>
      </c>
    </row>
    <row r="914" ht="15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 t="str">
        <f>Units_Data!#REF!</f>
        <v>#ERROR!</v>
      </c>
    </row>
    <row r="915" ht="15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 t="str">
        <f>Units_Data!#REF!</f>
        <v>#ERROR!</v>
      </c>
    </row>
    <row r="916" ht="15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 t="str">
        <f>Units_Data!#REF!</f>
        <v>#ERROR!</v>
      </c>
    </row>
    <row r="917" ht="15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 t="str">
        <f>Units_Data!#REF!</f>
        <v>#ERROR!</v>
      </c>
    </row>
    <row r="918" ht="15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 t="str">
        <f>Units_Data!#REF!</f>
        <v>#ERROR!</v>
      </c>
    </row>
    <row r="919" ht="15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 t="str">
        <f>Units_Data!#REF!</f>
        <v>#ERROR!</v>
      </c>
    </row>
    <row r="920" ht="15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 t="str">
        <f>Units_Data!#REF!</f>
        <v>#ERROR!</v>
      </c>
    </row>
    <row r="921" ht="15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 t="str">
        <f>Units_Data!#REF!</f>
        <v>#ERROR!</v>
      </c>
    </row>
    <row r="922" ht="15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 t="str">
        <f>Units_Data!#REF!</f>
        <v>#ERROR!</v>
      </c>
    </row>
    <row r="923" ht="15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 t="str">
        <f>Units_Data!#REF!</f>
        <v>#ERROR!</v>
      </c>
    </row>
    <row r="924" ht="15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 t="str">
        <f>Units_Data!#REF!</f>
        <v>#ERROR!</v>
      </c>
    </row>
    <row r="925" ht="15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 t="str">
        <f>Units_Data!#REF!</f>
        <v>#ERROR!</v>
      </c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/>
    <row r="1000" ht="15.75" customHeight="1"/>
  </sheetData>
  <mergeCells count="1">
    <mergeCell ref="A2:D2"/>
  </mergeCells>
  <dataValidations>
    <dataValidation type="list" allowBlank="1" sqref="B3">
      <formula1>Units_Data!$A$3:$A$65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7.71"/>
    <col customWidth="1" min="3" max="3" width="12.0"/>
    <col customWidth="1" min="4" max="4" width="19.71"/>
    <col customWidth="1" min="5" max="5" width="18.43"/>
    <col customWidth="1" min="6" max="6" width="29.43"/>
    <col customWidth="1" min="7" max="7" width="18.0"/>
    <col customWidth="1" min="8" max="8" width="22.14"/>
    <col customWidth="1" min="9" max="10" width="33.71"/>
    <col customWidth="1" min="11" max="11" width="14.0"/>
    <col customWidth="1" min="12" max="12" width="18.0"/>
    <col customWidth="1" min="13" max="13" width="14.0"/>
    <col customWidth="1" min="14" max="14" width="20.0"/>
    <col customWidth="1" min="15" max="26" width="8.71"/>
  </cols>
  <sheetData>
    <row r="1">
      <c r="A1" s="16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13</v>
      </c>
      <c r="B2" s="20" t="s">
        <v>3</v>
      </c>
      <c r="C2" s="20" t="s">
        <v>4</v>
      </c>
      <c r="D2" s="20" t="s">
        <v>5</v>
      </c>
      <c r="E2" s="20" t="s">
        <v>14</v>
      </c>
      <c r="F2" s="20" t="s">
        <v>15</v>
      </c>
      <c r="G2" s="20" t="s">
        <v>16</v>
      </c>
      <c r="H2" s="20" t="s">
        <v>17</v>
      </c>
      <c r="I2" s="20" t="s">
        <v>18</v>
      </c>
      <c r="J2" s="20" t="s">
        <v>19</v>
      </c>
      <c r="K2" s="20" t="s">
        <v>20</v>
      </c>
      <c r="L2" s="20" t="s">
        <v>21</v>
      </c>
      <c r="M2" s="20" t="s">
        <v>8</v>
      </c>
      <c r="N2" s="20" t="s">
        <v>9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 t="s">
        <v>22</v>
      </c>
      <c r="B3" s="22" t="s">
        <v>23</v>
      </c>
      <c r="C3" s="22" t="s">
        <v>24</v>
      </c>
      <c r="D3" s="23">
        <v>377.7</v>
      </c>
      <c r="E3" s="24">
        <v>2000.0</v>
      </c>
      <c r="F3" s="25">
        <f t="shared" ref="F3:F65" si="1">IF(OR(D3="",E3=""),"",D3*E3)</f>
        <v>755400</v>
      </c>
      <c r="G3" s="26">
        <v>779.6</v>
      </c>
      <c r="H3" s="27">
        <v>750.0</v>
      </c>
      <c r="I3" s="25">
        <f t="shared" ref="I3:I65" si="2">H3*G3</f>
        <v>584700</v>
      </c>
      <c r="J3" s="28">
        <f t="shared" ref="J3:J65" si="3">I3+F3</f>
        <v>1340100</v>
      </c>
      <c r="K3" s="29">
        <v>1500.0</v>
      </c>
      <c r="L3" s="29">
        <f t="shared" ref="L3:L65" si="4">IF(OR(D3="",K3=""),"",D3*K3)</f>
        <v>566550</v>
      </c>
      <c r="M3" s="20" t="s">
        <v>25</v>
      </c>
      <c r="N3" s="20" t="s">
        <v>26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30" t="s">
        <v>27</v>
      </c>
      <c r="B4" s="31" t="s">
        <v>23</v>
      </c>
      <c r="C4" s="31" t="s">
        <v>24</v>
      </c>
      <c r="D4" s="32">
        <v>139.38400000000001</v>
      </c>
      <c r="E4" s="33">
        <v>3000.0</v>
      </c>
      <c r="F4" s="34">
        <f t="shared" si="1"/>
        <v>418152</v>
      </c>
      <c r="G4" s="32">
        <v>53.42</v>
      </c>
      <c r="H4" s="35">
        <v>750.0</v>
      </c>
      <c r="I4" s="34">
        <f t="shared" si="2"/>
        <v>40065</v>
      </c>
      <c r="J4" s="36">
        <f t="shared" si="3"/>
        <v>458217</v>
      </c>
      <c r="K4" s="29">
        <v>2200.0</v>
      </c>
      <c r="L4" s="29">
        <f t="shared" si="4"/>
        <v>306644.8</v>
      </c>
      <c r="M4" s="20" t="s">
        <v>28</v>
      </c>
      <c r="N4" s="20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0" t="s">
        <v>29</v>
      </c>
      <c r="B5" s="31" t="s">
        <v>23</v>
      </c>
      <c r="C5" s="31" t="s">
        <v>24</v>
      </c>
      <c r="D5" s="32">
        <v>183.5533</v>
      </c>
      <c r="E5" s="33">
        <v>3000.0</v>
      </c>
      <c r="F5" s="34">
        <f t="shared" si="1"/>
        <v>550659.9</v>
      </c>
      <c r="G5" s="32">
        <v>51.36</v>
      </c>
      <c r="H5" s="35">
        <v>750.0</v>
      </c>
      <c r="I5" s="34">
        <f t="shared" si="2"/>
        <v>38520</v>
      </c>
      <c r="J5" s="36">
        <f t="shared" si="3"/>
        <v>589179.9</v>
      </c>
      <c r="K5" s="29">
        <v>1800.0</v>
      </c>
      <c r="L5" s="29">
        <f t="shared" si="4"/>
        <v>330395.94</v>
      </c>
      <c r="M5" s="20" t="s">
        <v>28</v>
      </c>
      <c r="N5" s="20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30" t="s">
        <v>30</v>
      </c>
      <c r="B6" s="31" t="s">
        <v>23</v>
      </c>
      <c r="C6" s="31" t="s">
        <v>24</v>
      </c>
      <c r="D6" s="32">
        <v>131.67000000000002</v>
      </c>
      <c r="E6" s="33">
        <v>3000.0</v>
      </c>
      <c r="F6" s="34">
        <f t="shared" si="1"/>
        <v>395010</v>
      </c>
      <c r="G6" s="32">
        <v>51.97</v>
      </c>
      <c r="H6" s="35">
        <v>750.0</v>
      </c>
      <c r="I6" s="34">
        <f t="shared" si="2"/>
        <v>38977.5</v>
      </c>
      <c r="J6" s="36">
        <f t="shared" si="3"/>
        <v>433987.5</v>
      </c>
      <c r="K6" s="29">
        <v>2500.0</v>
      </c>
      <c r="L6" s="29">
        <f t="shared" si="4"/>
        <v>329175</v>
      </c>
      <c r="M6" s="20" t="s">
        <v>31</v>
      </c>
      <c r="N6" s="20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30" t="s">
        <v>32</v>
      </c>
      <c r="B7" s="31" t="s">
        <v>23</v>
      </c>
      <c r="C7" s="31" t="s">
        <v>24</v>
      </c>
      <c r="D7" s="32">
        <v>195.03119999999998</v>
      </c>
      <c r="E7" s="33">
        <v>2000.0</v>
      </c>
      <c r="F7" s="34">
        <f t="shared" si="1"/>
        <v>390062.4</v>
      </c>
      <c r="G7" s="32">
        <v>47.28</v>
      </c>
      <c r="H7" s="35">
        <v>750.0</v>
      </c>
      <c r="I7" s="34">
        <f t="shared" si="2"/>
        <v>35460</v>
      </c>
      <c r="J7" s="36">
        <f t="shared" si="3"/>
        <v>425522.4</v>
      </c>
      <c r="K7" s="29">
        <v>1550.0</v>
      </c>
      <c r="L7" s="29">
        <f t="shared" si="4"/>
        <v>302298.36</v>
      </c>
      <c r="M7" s="20" t="s">
        <v>25</v>
      </c>
      <c r="N7" s="20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30" t="s">
        <v>33</v>
      </c>
      <c r="B8" s="31" t="s">
        <v>23</v>
      </c>
      <c r="C8" s="31" t="s">
        <v>24</v>
      </c>
      <c r="D8" s="32">
        <v>193.0096</v>
      </c>
      <c r="E8" s="33">
        <v>2250.0</v>
      </c>
      <c r="F8" s="34">
        <f t="shared" si="1"/>
        <v>434271.6</v>
      </c>
      <c r="G8" s="32">
        <v>35.0</v>
      </c>
      <c r="H8" s="35">
        <v>750.0</v>
      </c>
      <c r="I8" s="34">
        <f t="shared" si="2"/>
        <v>26250</v>
      </c>
      <c r="J8" s="36">
        <f t="shared" si="3"/>
        <v>460521.6</v>
      </c>
      <c r="K8" s="29"/>
      <c r="L8" s="29" t="str">
        <f t="shared" si="4"/>
        <v/>
      </c>
      <c r="M8" s="20"/>
      <c r="N8" s="20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30" t="s">
        <v>34</v>
      </c>
      <c r="B9" s="31" t="s">
        <v>23</v>
      </c>
      <c r="C9" s="31" t="s">
        <v>24</v>
      </c>
      <c r="D9" s="32">
        <v>132.335</v>
      </c>
      <c r="E9" s="33">
        <v>3000.0</v>
      </c>
      <c r="F9" s="34">
        <f t="shared" si="1"/>
        <v>397005</v>
      </c>
      <c r="G9" s="32">
        <v>49.2</v>
      </c>
      <c r="H9" s="35">
        <v>750.0</v>
      </c>
      <c r="I9" s="34">
        <f t="shared" si="2"/>
        <v>36900</v>
      </c>
      <c r="J9" s="36">
        <f t="shared" si="3"/>
        <v>433905</v>
      </c>
      <c r="K9" s="29"/>
      <c r="L9" s="29" t="str">
        <f t="shared" si="4"/>
        <v/>
      </c>
      <c r="M9" s="20"/>
      <c r="N9" s="20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30" t="s">
        <v>35</v>
      </c>
      <c r="B10" s="31" t="s">
        <v>23</v>
      </c>
      <c r="C10" s="31" t="s">
        <v>24</v>
      </c>
      <c r="D10" s="32">
        <v>182.6622</v>
      </c>
      <c r="E10" s="33">
        <v>3000.0</v>
      </c>
      <c r="F10" s="34">
        <f t="shared" si="1"/>
        <v>547986.6</v>
      </c>
      <c r="G10" s="32">
        <v>54.69</v>
      </c>
      <c r="H10" s="35">
        <v>750.0</v>
      </c>
      <c r="I10" s="34">
        <f t="shared" si="2"/>
        <v>41017.5</v>
      </c>
      <c r="J10" s="36">
        <f t="shared" si="3"/>
        <v>589004.1</v>
      </c>
      <c r="K10" s="29"/>
      <c r="L10" s="29" t="str">
        <f t="shared" si="4"/>
        <v/>
      </c>
      <c r="M10" s="20"/>
      <c r="N10" s="2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30" t="s">
        <v>36</v>
      </c>
      <c r="B11" s="31" t="s">
        <v>23</v>
      </c>
      <c r="C11" s="31" t="s">
        <v>24</v>
      </c>
      <c r="D11" s="32">
        <v>140.28840000000002</v>
      </c>
      <c r="E11" s="33">
        <v>3000.0</v>
      </c>
      <c r="F11" s="34">
        <f t="shared" si="1"/>
        <v>420865.2</v>
      </c>
      <c r="G11" s="32">
        <v>54.27</v>
      </c>
      <c r="H11" s="35">
        <v>750.0</v>
      </c>
      <c r="I11" s="34">
        <f t="shared" si="2"/>
        <v>40702.5</v>
      </c>
      <c r="J11" s="36">
        <f t="shared" si="3"/>
        <v>461567.7</v>
      </c>
      <c r="K11" s="29"/>
      <c r="L11" s="29" t="str">
        <f t="shared" si="4"/>
        <v/>
      </c>
      <c r="M11" s="20"/>
      <c r="N11" s="2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0" t="s">
        <v>37</v>
      </c>
      <c r="B12" s="31" t="s">
        <v>23</v>
      </c>
      <c r="C12" s="31" t="s">
        <v>24</v>
      </c>
      <c r="D12" s="32">
        <v>437.2907000000001</v>
      </c>
      <c r="E12" s="33">
        <v>2500.0</v>
      </c>
      <c r="F12" s="34">
        <f t="shared" si="1"/>
        <v>1093226.75</v>
      </c>
      <c r="G12" s="32">
        <v>325.97</v>
      </c>
      <c r="H12" s="35">
        <v>750.0</v>
      </c>
      <c r="I12" s="34">
        <f t="shared" si="2"/>
        <v>244477.5</v>
      </c>
      <c r="J12" s="36">
        <f t="shared" si="3"/>
        <v>1337704.25</v>
      </c>
      <c r="K12" s="29"/>
      <c r="L12" s="29" t="str">
        <f t="shared" si="4"/>
        <v/>
      </c>
      <c r="M12" s="20"/>
      <c r="N12" s="2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0" t="s">
        <v>38</v>
      </c>
      <c r="B13" s="31" t="s">
        <v>39</v>
      </c>
      <c r="C13" s="31" t="s">
        <v>24</v>
      </c>
      <c r="D13" s="32">
        <v>101.1465</v>
      </c>
      <c r="E13" s="33">
        <v>2250.0</v>
      </c>
      <c r="F13" s="34">
        <f t="shared" si="1"/>
        <v>227579.625</v>
      </c>
      <c r="G13" s="32"/>
      <c r="H13" s="34">
        <v>600.0</v>
      </c>
      <c r="I13" s="34">
        <f t="shared" si="2"/>
        <v>0</v>
      </c>
      <c r="J13" s="36">
        <f t="shared" si="3"/>
        <v>227579.625</v>
      </c>
      <c r="K13" s="29"/>
      <c r="L13" s="29" t="str">
        <f t="shared" si="4"/>
        <v/>
      </c>
      <c r="M13" s="20"/>
      <c r="N13" s="20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30" t="s">
        <v>40</v>
      </c>
      <c r="B14" s="31" t="s">
        <v>39</v>
      </c>
      <c r="C14" s="31" t="s">
        <v>24</v>
      </c>
      <c r="D14" s="32">
        <v>113.449</v>
      </c>
      <c r="E14" s="33">
        <v>2250.0</v>
      </c>
      <c r="F14" s="34">
        <f t="shared" si="1"/>
        <v>255260.25</v>
      </c>
      <c r="G14" s="37">
        <v>125.5</v>
      </c>
      <c r="H14" s="35">
        <v>750.0</v>
      </c>
      <c r="I14" s="34">
        <f t="shared" si="2"/>
        <v>94125</v>
      </c>
      <c r="J14" s="36">
        <f t="shared" si="3"/>
        <v>349385.25</v>
      </c>
      <c r="K14" s="29"/>
      <c r="L14" s="29" t="str">
        <f t="shared" si="4"/>
        <v/>
      </c>
      <c r="M14" s="20"/>
      <c r="N14" s="20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0" t="s">
        <v>41</v>
      </c>
      <c r="B15" s="31" t="s">
        <v>39</v>
      </c>
      <c r="C15" s="31" t="s">
        <v>24</v>
      </c>
      <c r="D15" s="32">
        <v>166.28990000000002</v>
      </c>
      <c r="E15" s="38">
        <v>2000.0</v>
      </c>
      <c r="F15" s="34">
        <f t="shared" si="1"/>
        <v>332579.8</v>
      </c>
      <c r="G15" s="32">
        <v>125.03</v>
      </c>
      <c r="H15" s="35">
        <v>700.0</v>
      </c>
      <c r="I15" s="34">
        <f t="shared" si="2"/>
        <v>87521</v>
      </c>
      <c r="J15" s="36">
        <f t="shared" si="3"/>
        <v>420100.8</v>
      </c>
      <c r="K15" s="29"/>
      <c r="L15" s="29" t="str">
        <f t="shared" si="4"/>
        <v/>
      </c>
      <c r="M15" s="20"/>
      <c r="N15" s="2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30" t="s">
        <v>42</v>
      </c>
      <c r="B16" s="31" t="s">
        <v>43</v>
      </c>
      <c r="C16" s="31" t="s">
        <v>24</v>
      </c>
      <c r="D16" s="32">
        <v>75.10510000000001</v>
      </c>
      <c r="E16" s="33">
        <v>600.0</v>
      </c>
      <c r="F16" s="34">
        <f t="shared" si="1"/>
        <v>45063.06</v>
      </c>
      <c r="G16" s="32"/>
      <c r="H16" s="34">
        <v>600.0</v>
      </c>
      <c r="I16" s="34">
        <f t="shared" si="2"/>
        <v>0</v>
      </c>
      <c r="J16" s="36">
        <f t="shared" si="3"/>
        <v>45063.06</v>
      </c>
      <c r="K16" s="29"/>
      <c r="L16" s="29" t="str">
        <f t="shared" si="4"/>
        <v/>
      </c>
      <c r="M16" s="20"/>
      <c r="N16" s="2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30" t="s">
        <v>44</v>
      </c>
      <c r="B17" s="31" t="s">
        <v>43</v>
      </c>
      <c r="C17" s="31" t="s">
        <v>24</v>
      </c>
      <c r="D17" s="32">
        <v>70.3969</v>
      </c>
      <c r="E17" s="33">
        <v>600.0</v>
      </c>
      <c r="F17" s="34">
        <f t="shared" si="1"/>
        <v>42238.14</v>
      </c>
      <c r="G17" s="32"/>
      <c r="H17" s="34">
        <v>600.0</v>
      </c>
      <c r="I17" s="34">
        <f t="shared" si="2"/>
        <v>0</v>
      </c>
      <c r="J17" s="36">
        <f t="shared" si="3"/>
        <v>42238.14</v>
      </c>
      <c r="K17" s="29"/>
      <c r="L17" s="29" t="str">
        <f t="shared" si="4"/>
        <v/>
      </c>
      <c r="M17" s="20"/>
      <c r="N17" s="20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30" t="s">
        <v>45</v>
      </c>
      <c r="B18" s="31" t="s">
        <v>43</v>
      </c>
      <c r="C18" s="31" t="s">
        <v>24</v>
      </c>
      <c r="D18" s="32">
        <v>66.9389</v>
      </c>
      <c r="E18" s="33">
        <v>600.0</v>
      </c>
      <c r="F18" s="34">
        <f t="shared" si="1"/>
        <v>40163.34</v>
      </c>
      <c r="G18" s="32"/>
      <c r="H18" s="34">
        <v>600.0</v>
      </c>
      <c r="I18" s="34">
        <f t="shared" si="2"/>
        <v>0</v>
      </c>
      <c r="J18" s="36">
        <f t="shared" si="3"/>
        <v>40163.34</v>
      </c>
      <c r="K18" s="29"/>
      <c r="L18" s="29" t="str">
        <f t="shared" si="4"/>
        <v/>
      </c>
      <c r="M18" s="20"/>
      <c r="N18" s="2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0" t="s">
        <v>46</v>
      </c>
      <c r="B19" s="31" t="s">
        <v>43</v>
      </c>
      <c r="C19" s="31" t="s">
        <v>24</v>
      </c>
      <c r="D19" s="32">
        <v>70.357</v>
      </c>
      <c r="E19" s="33">
        <v>600.0</v>
      </c>
      <c r="F19" s="34">
        <f t="shared" si="1"/>
        <v>42214.2</v>
      </c>
      <c r="G19" s="32"/>
      <c r="H19" s="34">
        <v>600.0</v>
      </c>
      <c r="I19" s="34">
        <f t="shared" si="2"/>
        <v>0</v>
      </c>
      <c r="J19" s="36">
        <f t="shared" si="3"/>
        <v>42214.2</v>
      </c>
      <c r="K19" s="29"/>
      <c r="L19" s="29" t="str">
        <f t="shared" si="4"/>
        <v/>
      </c>
      <c r="M19" s="20"/>
      <c r="N19" s="20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0" t="s">
        <v>47</v>
      </c>
      <c r="B20" s="31" t="s">
        <v>43</v>
      </c>
      <c r="C20" s="31" t="s">
        <v>24</v>
      </c>
      <c r="D20" s="32">
        <v>67.5374</v>
      </c>
      <c r="E20" s="33">
        <v>600.0</v>
      </c>
      <c r="F20" s="34">
        <f t="shared" si="1"/>
        <v>40522.44</v>
      </c>
      <c r="G20" s="32"/>
      <c r="H20" s="34">
        <v>600.0</v>
      </c>
      <c r="I20" s="34">
        <f t="shared" si="2"/>
        <v>0</v>
      </c>
      <c r="J20" s="36">
        <f t="shared" si="3"/>
        <v>40522.44</v>
      </c>
      <c r="K20" s="29"/>
      <c r="L20" s="29" t="str">
        <f t="shared" si="4"/>
        <v/>
      </c>
      <c r="M20" s="20"/>
      <c r="N20" s="20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30" t="s">
        <v>48</v>
      </c>
      <c r="B21" s="31" t="s">
        <v>43</v>
      </c>
      <c r="C21" s="31" t="s">
        <v>24</v>
      </c>
      <c r="D21" s="32">
        <v>76.1824</v>
      </c>
      <c r="E21" s="33">
        <v>600.0</v>
      </c>
      <c r="F21" s="34">
        <f t="shared" si="1"/>
        <v>45709.44</v>
      </c>
      <c r="G21" s="32"/>
      <c r="H21" s="34">
        <v>600.0</v>
      </c>
      <c r="I21" s="34">
        <f t="shared" si="2"/>
        <v>0</v>
      </c>
      <c r="J21" s="36">
        <f t="shared" si="3"/>
        <v>45709.44</v>
      </c>
      <c r="K21" s="29"/>
      <c r="L21" s="29" t="str">
        <f t="shared" si="4"/>
        <v/>
      </c>
      <c r="M21" s="20"/>
      <c r="N21" s="20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30" t="s">
        <v>49</v>
      </c>
      <c r="B22" s="31" t="s">
        <v>43</v>
      </c>
      <c r="C22" s="31" t="s">
        <v>24</v>
      </c>
      <c r="D22" s="32">
        <v>81.5556</v>
      </c>
      <c r="E22" s="33">
        <v>600.0</v>
      </c>
      <c r="F22" s="34">
        <f t="shared" si="1"/>
        <v>48933.36</v>
      </c>
      <c r="G22" s="32"/>
      <c r="H22" s="34">
        <v>600.0</v>
      </c>
      <c r="I22" s="34">
        <f t="shared" si="2"/>
        <v>0</v>
      </c>
      <c r="J22" s="36">
        <f t="shared" si="3"/>
        <v>48933.36</v>
      </c>
      <c r="K22" s="29"/>
      <c r="L22" s="29" t="str">
        <f t="shared" si="4"/>
        <v/>
      </c>
      <c r="M22" s="20"/>
      <c r="N22" s="20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30" t="s">
        <v>50</v>
      </c>
      <c r="B23" s="31" t="s">
        <v>43</v>
      </c>
      <c r="C23" s="31" t="s">
        <v>24</v>
      </c>
      <c r="D23" s="32">
        <v>100.5879</v>
      </c>
      <c r="E23" s="33">
        <v>600.0</v>
      </c>
      <c r="F23" s="34">
        <f t="shared" si="1"/>
        <v>60352.74</v>
      </c>
      <c r="G23" s="32"/>
      <c r="H23" s="34">
        <v>600.0</v>
      </c>
      <c r="I23" s="34">
        <f t="shared" si="2"/>
        <v>0</v>
      </c>
      <c r="J23" s="36">
        <f t="shared" si="3"/>
        <v>60352.74</v>
      </c>
      <c r="K23" s="29"/>
      <c r="L23" s="29" t="str">
        <f t="shared" si="4"/>
        <v/>
      </c>
      <c r="M23" s="20"/>
      <c r="N23" s="20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30" t="s">
        <v>51</v>
      </c>
      <c r="B24" s="31" t="s">
        <v>52</v>
      </c>
      <c r="C24" s="31" t="s">
        <v>24</v>
      </c>
      <c r="D24" s="32">
        <v>39.368</v>
      </c>
      <c r="E24" s="33">
        <v>2800.0</v>
      </c>
      <c r="F24" s="34">
        <f t="shared" si="1"/>
        <v>110230.4</v>
      </c>
      <c r="G24" s="32"/>
      <c r="H24" s="34">
        <v>600.0</v>
      </c>
      <c r="I24" s="34">
        <f t="shared" si="2"/>
        <v>0</v>
      </c>
      <c r="J24" s="36">
        <f t="shared" si="3"/>
        <v>110230.4</v>
      </c>
      <c r="K24" s="29"/>
      <c r="L24" s="29" t="str">
        <f t="shared" si="4"/>
        <v/>
      </c>
      <c r="M24" s="20"/>
      <c r="N24" s="20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30" t="s">
        <v>53</v>
      </c>
      <c r="B25" s="31" t="s">
        <v>52</v>
      </c>
      <c r="C25" s="31" t="s">
        <v>24</v>
      </c>
      <c r="D25" s="32">
        <v>39.900000000000006</v>
      </c>
      <c r="E25" s="33">
        <v>2800.0</v>
      </c>
      <c r="F25" s="34">
        <f t="shared" si="1"/>
        <v>111720</v>
      </c>
      <c r="G25" s="32"/>
      <c r="H25" s="34">
        <v>600.0</v>
      </c>
      <c r="I25" s="34">
        <f t="shared" si="2"/>
        <v>0</v>
      </c>
      <c r="J25" s="36">
        <f t="shared" si="3"/>
        <v>111720</v>
      </c>
      <c r="K25" s="29"/>
      <c r="L25" s="29" t="str">
        <f t="shared" si="4"/>
        <v/>
      </c>
      <c r="M25" s="20"/>
      <c r="N25" s="20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30" t="s">
        <v>54</v>
      </c>
      <c r="B26" s="31" t="s">
        <v>52</v>
      </c>
      <c r="C26" s="31" t="s">
        <v>24</v>
      </c>
      <c r="D26" s="32">
        <v>40.2458</v>
      </c>
      <c r="E26" s="33">
        <v>2800.0</v>
      </c>
      <c r="F26" s="34">
        <f t="shared" si="1"/>
        <v>112688.24</v>
      </c>
      <c r="G26" s="32"/>
      <c r="H26" s="34">
        <v>600.0</v>
      </c>
      <c r="I26" s="34">
        <f t="shared" si="2"/>
        <v>0</v>
      </c>
      <c r="J26" s="36">
        <f t="shared" si="3"/>
        <v>112688.24</v>
      </c>
      <c r="K26" s="29"/>
      <c r="L26" s="29" t="str">
        <f t="shared" si="4"/>
        <v/>
      </c>
      <c r="M26" s="20"/>
      <c r="N26" s="20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30" t="s">
        <v>55</v>
      </c>
      <c r="B27" s="31" t="s">
        <v>52</v>
      </c>
      <c r="C27" s="31" t="s">
        <v>24</v>
      </c>
      <c r="D27" s="32">
        <v>36.3489</v>
      </c>
      <c r="E27" s="33">
        <v>2800.0</v>
      </c>
      <c r="F27" s="34">
        <f t="shared" si="1"/>
        <v>101776.92</v>
      </c>
      <c r="G27" s="32"/>
      <c r="H27" s="34">
        <v>600.0</v>
      </c>
      <c r="I27" s="34">
        <f t="shared" si="2"/>
        <v>0</v>
      </c>
      <c r="J27" s="36">
        <f t="shared" si="3"/>
        <v>101776.92</v>
      </c>
      <c r="K27" s="29"/>
      <c r="L27" s="29" t="str">
        <f t="shared" si="4"/>
        <v/>
      </c>
      <c r="M27" s="20"/>
      <c r="N27" s="20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30" t="s">
        <v>56</v>
      </c>
      <c r="B28" s="31" t="s">
        <v>52</v>
      </c>
      <c r="C28" s="31" t="s">
        <v>24</v>
      </c>
      <c r="D28" s="32">
        <v>40.9773</v>
      </c>
      <c r="E28" s="33">
        <v>2800.0</v>
      </c>
      <c r="F28" s="34">
        <f t="shared" si="1"/>
        <v>114736.44</v>
      </c>
      <c r="G28" s="32"/>
      <c r="H28" s="34">
        <v>600.0</v>
      </c>
      <c r="I28" s="34">
        <f t="shared" si="2"/>
        <v>0</v>
      </c>
      <c r="J28" s="36">
        <f t="shared" si="3"/>
        <v>114736.44</v>
      </c>
      <c r="K28" s="29"/>
      <c r="L28" s="29" t="str">
        <f t="shared" si="4"/>
        <v/>
      </c>
      <c r="M28" s="20"/>
      <c r="N28" s="20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30" t="s">
        <v>57</v>
      </c>
      <c r="B29" s="31" t="s">
        <v>52</v>
      </c>
      <c r="C29" s="31" t="s">
        <v>24</v>
      </c>
      <c r="D29" s="32">
        <v>40.2458</v>
      </c>
      <c r="E29" s="33">
        <v>2800.0</v>
      </c>
      <c r="F29" s="34">
        <f t="shared" si="1"/>
        <v>112688.24</v>
      </c>
      <c r="G29" s="32"/>
      <c r="H29" s="34">
        <v>600.0</v>
      </c>
      <c r="I29" s="34">
        <f t="shared" si="2"/>
        <v>0</v>
      </c>
      <c r="J29" s="36">
        <f t="shared" si="3"/>
        <v>112688.24</v>
      </c>
      <c r="K29" s="29"/>
      <c r="L29" s="29" t="str">
        <f t="shared" si="4"/>
        <v/>
      </c>
      <c r="M29" s="20"/>
      <c r="N29" s="20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30" t="s">
        <v>58</v>
      </c>
      <c r="B30" s="31" t="s">
        <v>59</v>
      </c>
      <c r="C30" s="31" t="s">
        <v>24</v>
      </c>
      <c r="D30" s="32">
        <v>1361.7471</v>
      </c>
      <c r="E30" s="33">
        <v>800.0</v>
      </c>
      <c r="F30" s="34">
        <f t="shared" si="1"/>
        <v>1089397.68</v>
      </c>
      <c r="G30" s="32"/>
      <c r="H30" s="34">
        <v>600.0</v>
      </c>
      <c r="I30" s="34">
        <f t="shared" si="2"/>
        <v>0</v>
      </c>
      <c r="J30" s="36">
        <f t="shared" si="3"/>
        <v>1089397.68</v>
      </c>
      <c r="K30" s="29"/>
      <c r="L30" s="29" t="str">
        <f t="shared" si="4"/>
        <v/>
      </c>
      <c r="M30" s="20"/>
      <c r="N30" s="20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30" t="s">
        <v>60</v>
      </c>
      <c r="B31" s="31" t="s">
        <v>52</v>
      </c>
      <c r="C31" s="31" t="s">
        <v>24</v>
      </c>
      <c r="D31" s="32">
        <v>36.1095</v>
      </c>
      <c r="E31" s="33">
        <v>2000.0</v>
      </c>
      <c r="F31" s="34">
        <f t="shared" si="1"/>
        <v>72219</v>
      </c>
      <c r="G31" s="32"/>
      <c r="H31" s="34">
        <v>600.0</v>
      </c>
      <c r="I31" s="34">
        <f t="shared" si="2"/>
        <v>0</v>
      </c>
      <c r="J31" s="36">
        <f t="shared" si="3"/>
        <v>72219</v>
      </c>
      <c r="K31" s="29"/>
      <c r="L31" s="29" t="str">
        <f t="shared" si="4"/>
        <v/>
      </c>
      <c r="M31" s="20"/>
      <c r="N31" s="20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30" t="s">
        <v>61</v>
      </c>
      <c r="B32" s="31" t="s">
        <v>52</v>
      </c>
      <c r="C32" s="31" t="s">
        <v>24</v>
      </c>
      <c r="D32" s="32">
        <v>36.1095</v>
      </c>
      <c r="E32" s="33">
        <v>2000.0</v>
      </c>
      <c r="F32" s="34">
        <f t="shared" si="1"/>
        <v>72219</v>
      </c>
      <c r="G32" s="32"/>
      <c r="H32" s="34">
        <v>600.0</v>
      </c>
      <c r="I32" s="34">
        <f t="shared" si="2"/>
        <v>0</v>
      </c>
      <c r="J32" s="36">
        <f t="shared" si="3"/>
        <v>72219</v>
      </c>
      <c r="K32" s="29"/>
      <c r="L32" s="29" t="str">
        <f t="shared" si="4"/>
        <v/>
      </c>
      <c r="M32" s="20"/>
      <c r="N32" s="20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30" t="s">
        <v>62</v>
      </c>
      <c r="B33" s="31" t="s">
        <v>52</v>
      </c>
      <c r="C33" s="31" t="s">
        <v>24</v>
      </c>
      <c r="D33" s="32">
        <v>36.1095</v>
      </c>
      <c r="E33" s="33">
        <v>2000.0</v>
      </c>
      <c r="F33" s="34">
        <f t="shared" si="1"/>
        <v>72219</v>
      </c>
      <c r="G33" s="32"/>
      <c r="H33" s="34">
        <v>600.0</v>
      </c>
      <c r="I33" s="34">
        <f t="shared" si="2"/>
        <v>0</v>
      </c>
      <c r="J33" s="36">
        <f t="shared" si="3"/>
        <v>72219</v>
      </c>
      <c r="K33" s="29"/>
      <c r="L33" s="29" t="str">
        <f t="shared" si="4"/>
        <v/>
      </c>
      <c r="M33" s="20"/>
      <c r="N33" s="20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30" t="s">
        <v>63</v>
      </c>
      <c r="B34" s="31" t="s">
        <v>52</v>
      </c>
      <c r="C34" s="31" t="s">
        <v>24</v>
      </c>
      <c r="D34" s="32">
        <v>36.1095</v>
      </c>
      <c r="E34" s="33">
        <v>2000.0</v>
      </c>
      <c r="F34" s="34">
        <f t="shared" si="1"/>
        <v>72219</v>
      </c>
      <c r="G34" s="32"/>
      <c r="H34" s="34">
        <v>600.0</v>
      </c>
      <c r="I34" s="34">
        <f t="shared" si="2"/>
        <v>0</v>
      </c>
      <c r="J34" s="36">
        <f t="shared" si="3"/>
        <v>72219</v>
      </c>
      <c r="K34" s="29"/>
      <c r="L34" s="29" t="str">
        <f t="shared" si="4"/>
        <v/>
      </c>
      <c r="M34" s="20"/>
      <c r="N34" s="20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30" t="s">
        <v>64</v>
      </c>
      <c r="B35" s="31" t="s">
        <v>52</v>
      </c>
      <c r="C35" s="31" t="s">
        <v>24</v>
      </c>
      <c r="D35" s="32">
        <v>36.1095</v>
      </c>
      <c r="E35" s="33">
        <v>2000.0</v>
      </c>
      <c r="F35" s="34">
        <f t="shared" si="1"/>
        <v>72219</v>
      </c>
      <c r="G35" s="32"/>
      <c r="H35" s="34">
        <v>600.0</v>
      </c>
      <c r="I35" s="34">
        <f t="shared" si="2"/>
        <v>0</v>
      </c>
      <c r="J35" s="36">
        <f t="shared" si="3"/>
        <v>72219</v>
      </c>
      <c r="K35" s="29"/>
      <c r="L35" s="29" t="str">
        <f t="shared" si="4"/>
        <v/>
      </c>
      <c r="M35" s="20"/>
      <c r="N35" s="20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0" t="s">
        <v>65</v>
      </c>
      <c r="B36" s="31" t="s">
        <v>52</v>
      </c>
      <c r="C36" s="31" t="s">
        <v>24</v>
      </c>
      <c r="D36" s="32">
        <v>36.1095</v>
      </c>
      <c r="E36" s="33">
        <v>2000.0</v>
      </c>
      <c r="F36" s="34">
        <f t="shared" si="1"/>
        <v>72219</v>
      </c>
      <c r="G36" s="32"/>
      <c r="H36" s="34">
        <v>600.0</v>
      </c>
      <c r="I36" s="34">
        <f t="shared" si="2"/>
        <v>0</v>
      </c>
      <c r="J36" s="36">
        <f t="shared" si="3"/>
        <v>72219</v>
      </c>
      <c r="K36" s="29"/>
      <c r="L36" s="29" t="str">
        <f t="shared" si="4"/>
        <v/>
      </c>
      <c r="M36" s="20"/>
      <c r="N36" s="20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30" t="s">
        <v>66</v>
      </c>
      <c r="B37" s="31" t="s">
        <v>67</v>
      </c>
      <c r="C37" s="31" t="s">
        <v>24</v>
      </c>
      <c r="D37" s="32">
        <v>227.76250000000002</v>
      </c>
      <c r="E37" s="38">
        <v>2200.0</v>
      </c>
      <c r="F37" s="34">
        <f t="shared" si="1"/>
        <v>501077.5</v>
      </c>
      <c r="G37" s="32">
        <f>92.48+57.4+125.4</f>
        <v>275.28</v>
      </c>
      <c r="H37" s="35">
        <v>750.0</v>
      </c>
      <c r="I37" s="34">
        <f t="shared" si="2"/>
        <v>206460</v>
      </c>
      <c r="J37" s="36">
        <f t="shared" si="3"/>
        <v>707537.5</v>
      </c>
      <c r="K37" s="29"/>
      <c r="L37" s="29" t="str">
        <f t="shared" si="4"/>
        <v/>
      </c>
      <c r="M37" s="39" t="s">
        <v>68</v>
      </c>
      <c r="N37" s="20" t="s">
        <v>69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30" t="s">
        <v>70</v>
      </c>
      <c r="B38" s="31" t="s">
        <v>67</v>
      </c>
      <c r="C38" s="31" t="s">
        <v>24</v>
      </c>
      <c r="D38" s="32">
        <v>225.16900000000004</v>
      </c>
      <c r="E38" s="33">
        <v>2300.0</v>
      </c>
      <c r="F38" s="34">
        <f t="shared" si="1"/>
        <v>517888.7</v>
      </c>
      <c r="G38" s="37">
        <v>158.2</v>
      </c>
      <c r="H38" s="35">
        <v>750.0</v>
      </c>
      <c r="I38" s="34">
        <f t="shared" si="2"/>
        <v>118650</v>
      </c>
      <c r="J38" s="36">
        <f t="shared" si="3"/>
        <v>636538.7</v>
      </c>
      <c r="K38" s="29"/>
      <c r="L38" s="29" t="str">
        <f t="shared" si="4"/>
        <v/>
      </c>
      <c r="M38" s="20"/>
      <c r="N38" s="20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30" t="s">
        <v>2</v>
      </c>
      <c r="B39" s="31" t="s">
        <v>67</v>
      </c>
      <c r="C39" s="31" t="s">
        <v>24</v>
      </c>
      <c r="D39" s="32">
        <v>281.6275</v>
      </c>
      <c r="E39" s="33">
        <v>2300.0</v>
      </c>
      <c r="F39" s="34">
        <f t="shared" si="1"/>
        <v>647743.25</v>
      </c>
      <c r="G39" s="37">
        <v>244.1</v>
      </c>
      <c r="H39" s="35">
        <v>750.0</v>
      </c>
      <c r="I39" s="34">
        <f t="shared" si="2"/>
        <v>183075</v>
      </c>
      <c r="J39" s="36">
        <f t="shared" si="3"/>
        <v>830818.25</v>
      </c>
      <c r="K39" s="29"/>
      <c r="L39" s="29" t="str">
        <f t="shared" si="4"/>
        <v/>
      </c>
      <c r="M39" s="20"/>
      <c r="N39" s="20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30" t="s">
        <v>71</v>
      </c>
      <c r="B40" s="31" t="s">
        <v>67</v>
      </c>
      <c r="C40" s="31" t="s">
        <v>24</v>
      </c>
      <c r="D40" s="32">
        <v>271.32</v>
      </c>
      <c r="E40" s="33">
        <v>2000.0</v>
      </c>
      <c r="F40" s="34">
        <f t="shared" si="1"/>
        <v>542640</v>
      </c>
      <c r="G40" s="32">
        <v>110.69</v>
      </c>
      <c r="H40" s="35">
        <v>750.0</v>
      </c>
      <c r="I40" s="34">
        <f t="shared" si="2"/>
        <v>83017.5</v>
      </c>
      <c r="J40" s="36">
        <f t="shared" si="3"/>
        <v>625657.5</v>
      </c>
      <c r="K40" s="29"/>
      <c r="L40" s="29" t="str">
        <f t="shared" si="4"/>
        <v/>
      </c>
      <c r="M40" s="20"/>
      <c r="N40" s="20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30" t="s">
        <v>72</v>
      </c>
      <c r="B41" s="31" t="s">
        <v>73</v>
      </c>
      <c r="C41" s="31" t="s">
        <v>24</v>
      </c>
      <c r="D41" s="32">
        <v>348.194</v>
      </c>
      <c r="E41" s="33">
        <v>1750.0</v>
      </c>
      <c r="F41" s="34">
        <f t="shared" si="1"/>
        <v>609339.5</v>
      </c>
      <c r="G41" s="32">
        <v>279.73</v>
      </c>
      <c r="H41" s="35">
        <v>750.0</v>
      </c>
      <c r="I41" s="34">
        <f t="shared" si="2"/>
        <v>209797.5</v>
      </c>
      <c r="J41" s="36">
        <f t="shared" si="3"/>
        <v>819137</v>
      </c>
      <c r="K41" s="29"/>
      <c r="L41" s="29" t="str">
        <f t="shared" si="4"/>
        <v/>
      </c>
      <c r="M41" s="20"/>
      <c r="N41" s="20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30" t="s">
        <v>74</v>
      </c>
      <c r="B42" s="31" t="s">
        <v>67</v>
      </c>
      <c r="C42" s="31" t="s">
        <v>24</v>
      </c>
      <c r="D42" s="32">
        <v>197.95720000000003</v>
      </c>
      <c r="E42" s="33">
        <v>2500.0</v>
      </c>
      <c r="F42" s="34">
        <f t="shared" si="1"/>
        <v>494893</v>
      </c>
      <c r="G42" s="32">
        <f>80.15+132.7</f>
        <v>212.85</v>
      </c>
      <c r="H42" s="35">
        <v>750.0</v>
      </c>
      <c r="I42" s="34">
        <f t="shared" si="2"/>
        <v>159637.5</v>
      </c>
      <c r="J42" s="36">
        <f t="shared" si="3"/>
        <v>654530.5</v>
      </c>
      <c r="K42" s="29"/>
      <c r="L42" s="29" t="str">
        <f t="shared" si="4"/>
        <v/>
      </c>
      <c r="M42" s="20"/>
      <c r="N42" s="20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30" t="s">
        <v>75</v>
      </c>
      <c r="B43" s="31" t="s">
        <v>76</v>
      </c>
      <c r="C43" s="31" t="s">
        <v>24</v>
      </c>
      <c r="D43" s="32">
        <v>399.98420000000004</v>
      </c>
      <c r="E43" s="38">
        <v>2200.0</v>
      </c>
      <c r="F43" s="34">
        <f t="shared" si="1"/>
        <v>879965.24</v>
      </c>
      <c r="G43" s="32">
        <f>322.29+197.9</f>
        <v>520.19</v>
      </c>
      <c r="H43" s="35">
        <v>750.0</v>
      </c>
      <c r="I43" s="34">
        <f t="shared" si="2"/>
        <v>390142.5</v>
      </c>
      <c r="J43" s="36">
        <f t="shared" si="3"/>
        <v>1270107.74</v>
      </c>
      <c r="K43" s="29"/>
      <c r="L43" s="29" t="str">
        <f t="shared" si="4"/>
        <v/>
      </c>
      <c r="M43" s="20"/>
      <c r="N43" s="20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30" t="s">
        <v>77</v>
      </c>
      <c r="B44" s="31" t="s">
        <v>67</v>
      </c>
      <c r="C44" s="31" t="s">
        <v>24</v>
      </c>
      <c r="D44" s="32">
        <v>230.8348</v>
      </c>
      <c r="E44" s="38">
        <v>2000.0</v>
      </c>
      <c r="F44" s="34">
        <f t="shared" si="1"/>
        <v>461669.6</v>
      </c>
      <c r="G44" s="37">
        <v>300.0</v>
      </c>
      <c r="H44" s="35">
        <v>750.0</v>
      </c>
      <c r="I44" s="34">
        <f t="shared" si="2"/>
        <v>225000</v>
      </c>
      <c r="J44" s="36">
        <f t="shared" si="3"/>
        <v>686669.6</v>
      </c>
      <c r="K44" s="29"/>
      <c r="L44" s="29" t="str">
        <f t="shared" si="4"/>
        <v/>
      </c>
      <c r="M44" s="20"/>
      <c r="N44" s="20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30" t="s">
        <v>78</v>
      </c>
      <c r="B45" s="31" t="s">
        <v>67</v>
      </c>
      <c r="C45" s="31" t="s">
        <v>24</v>
      </c>
      <c r="D45" s="32">
        <v>217.1225</v>
      </c>
      <c r="E45" s="38">
        <v>2100.0</v>
      </c>
      <c r="F45" s="34">
        <f t="shared" si="1"/>
        <v>455957.25</v>
      </c>
      <c r="G45" s="32">
        <v>78.63</v>
      </c>
      <c r="H45" s="35">
        <v>750.0</v>
      </c>
      <c r="I45" s="34">
        <f t="shared" si="2"/>
        <v>58972.5</v>
      </c>
      <c r="J45" s="36">
        <f t="shared" si="3"/>
        <v>514929.75</v>
      </c>
      <c r="K45" s="29"/>
      <c r="L45" s="29" t="str">
        <f t="shared" si="4"/>
        <v/>
      </c>
      <c r="M45" s="20"/>
      <c r="N45" s="20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30" t="s">
        <v>79</v>
      </c>
      <c r="B46" s="31" t="s">
        <v>80</v>
      </c>
      <c r="C46" s="31" t="s">
        <v>24</v>
      </c>
      <c r="D46" s="32">
        <v>615.1649</v>
      </c>
      <c r="E46" s="33">
        <v>2000.0</v>
      </c>
      <c r="F46" s="34">
        <f t="shared" si="1"/>
        <v>1230329.8</v>
      </c>
      <c r="G46" s="32">
        <f>320.49+179.9</f>
        <v>500.39</v>
      </c>
      <c r="H46" s="35">
        <v>750.0</v>
      </c>
      <c r="I46" s="34">
        <f t="shared" si="2"/>
        <v>375292.5</v>
      </c>
      <c r="J46" s="36">
        <f t="shared" si="3"/>
        <v>1605622.3</v>
      </c>
      <c r="K46" s="29"/>
      <c r="L46" s="29" t="str">
        <f t="shared" si="4"/>
        <v/>
      </c>
      <c r="M46" s="20"/>
      <c r="N46" s="20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30" t="s">
        <v>81</v>
      </c>
      <c r="B47" s="31" t="s">
        <v>67</v>
      </c>
      <c r="C47" s="31" t="s">
        <v>24</v>
      </c>
      <c r="D47" s="32">
        <v>107.3177</v>
      </c>
      <c r="E47" s="33">
        <v>2500.0</v>
      </c>
      <c r="F47" s="34">
        <f t="shared" si="1"/>
        <v>268294.25</v>
      </c>
      <c r="G47" s="32">
        <v>59.58</v>
      </c>
      <c r="H47" s="35">
        <v>750.0</v>
      </c>
      <c r="I47" s="34">
        <f t="shared" si="2"/>
        <v>44685</v>
      </c>
      <c r="J47" s="36">
        <f t="shared" si="3"/>
        <v>312979.25</v>
      </c>
      <c r="K47" s="29"/>
      <c r="L47" s="29" t="str">
        <f t="shared" si="4"/>
        <v/>
      </c>
      <c r="M47" s="20"/>
      <c r="N47" s="20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30" t="s">
        <v>82</v>
      </c>
      <c r="B48" s="31" t="s">
        <v>67</v>
      </c>
      <c r="C48" s="31" t="s">
        <v>24</v>
      </c>
      <c r="D48" s="32">
        <v>138.5328</v>
      </c>
      <c r="E48" s="33">
        <v>2800.0</v>
      </c>
      <c r="F48" s="34">
        <f t="shared" si="1"/>
        <v>387891.84</v>
      </c>
      <c r="G48" s="32">
        <v>61.55</v>
      </c>
      <c r="H48" s="35">
        <v>750.0</v>
      </c>
      <c r="I48" s="34">
        <f t="shared" si="2"/>
        <v>46162.5</v>
      </c>
      <c r="J48" s="36">
        <f t="shared" si="3"/>
        <v>434054.34</v>
      </c>
      <c r="K48" s="29"/>
      <c r="L48" s="29" t="str">
        <f t="shared" si="4"/>
        <v/>
      </c>
      <c r="M48" s="20"/>
      <c r="N48" s="20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30" t="s">
        <v>83</v>
      </c>
      <c r="B49" s="31" t="s">
        <v>84</v>
      </c>
      <c r="C49" s="31" t="s">
        <v>24</v>
      </c>
      <c r="D49" s="32">
        <v>152.80370000000002</v>
      </c>
      <c r="E49" s="33">
        <v>2000.0</v>
      </c>
      <c r="F49" s="34">
        <f t="shared" si="1"/>
        <v>305607.4</v>
      </c>
      <c r="G49" s="32">
        <v>61.43</v>
      </c>
      <c r="H49" s="35">
        <v>750.0</v>
      </c>
      <c r="I49" s="34">
        <f t="shared" si="2"/>
        <v>46072.5</v>
      </c>
      <c r="J49" s="36">
        <f t="shared" si="3"/>
        <v>351679.9</v>
      </c>
      <c r="K49" s="29"/>
      <c r="L49" s="29" t="str">
        <f t="shared" si="4"/>
        <v/>
      </c>
      <c r="M49" s="20"/>
      <c r="N49" s="20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30" t="s">
        <v>85</v>
      </c>
      <c r="B50" s="31" t="s">
        <v>84</v>
      </c>
      <c r="C50" s="31" t="s">
        <v>24</v>
      </c>
      <c r="D50" s="32">
        <v>147.497</v>
      </c>
      <c r="E50" s="33">
        <v>2000.0</v>
      </c>
      <c r="F50" s="34">
        <f t="shared" si="1"/>
        <v>294994</v>
      </c>
      <c r="G50" s="32">
        <v>60.3</v>
      </c>
      <c r="H50" s="35">
        <v>750.0</v>
      </c>
      <c r="I50" s="34">
        <f t="shared" si="2"/>
        <v>45225</v>
      </c>
      <c r="J50" s="36">
        <f t="shared" si="3"/>
        <v>340219</v>
      </c>
      <c r="K50" s="29"/>
      <c r="L50" s="29" t="str">
        <f t="shared" si="4"/>
        <v/>
      </c>
      <c r="M50" s="20"/>
      <c r="N50" s="20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30" t="s">
        <v>86</v>
      </c>
      <c r="B51" s="31" t="s">
        <v>84</v>
      </c>
      <c r="C51" s="31" t="s">
        <v>24</v>
      </c>
      <c r="D51" s="32">
        <v>150.4496</v>
      </c>
      <c r="E51" s="33">
        <v>2000.0</v>
      </c>
      <c r="F51" s="34">
        <f t="shared" si="1"/>
        <v>300899.2</v>
      </c>
      <c r="G51" s="32">
        <v>59.22</v>
      </c>
      <c r="H51" s="35">
        <v>750.0</v>
      </c>
      <c r="I51" s="34">
        <f t="shared" si="2"/>
        <v>44415</v>
      </c>
      <c r="J51" s="36">
        <f t="shared" si="3"/>
        <v>345314.2</v>
      </c>
      <c r="K51" s="29"/>
      <c r="L51" s="29" t="str">
        <f t="shared" si="4"/>
        <v/>
      </c>
      <c r="M51" s="20"/>
      <c r="N51" s="20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30" t="s">
        <v>87</v>
      </c>
      <c r="B52" s="31" t="s">
        <v>88</v>
      </c>
      <c r="C52" s="31" t="s">
        <v>24</v>
      </c>
      <c r="D52" s="32">
        <v>131.5902</v>
      </c>
      <c r="E52" s="33">
        <v>2800.0</v>
      </c>
      <c r="F52" s="34">
        <f t="shared" si="1"/>
        <v>368452.56</v>
      </c>
      <c r="G52" s="32">
        <v>63.4</v>
      </c>
      <c r="H52" s="35">
        <v>750.0</v>
      </c>
      <c r="I52" s="34">
        <f t="shared" si="2"/>
        <v>47550</v>
      </c>
      <c r="J52" s="36">
        <f t="shared" si="3"/>
        <v>416002.56</v>
      </c>
      <c r="K52" s="29"/>
      <c r="L52" s="29" t="str">
        <f t="shared" si="4"/>
        <v/>
      </c>
      <c r="M52" s="20"/>
      <c r="N52" s="20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30" t="s">
        <v>89</v>
      </c>
      <c r="B53" s="31" t="s">
        <v>90</v>
      </c>
      <c r="C53" s="31" t="s">
        <v>24</v>
      </c>
      <c r="D53" s="32">
        <v>134.86200000000002</v>
      </c>
      <c r="E53" s="33">
        <v>2250.0</v>
      </c>
      <c r="F53" s="34">
        <f t="shared" si="1"/>
        <v>303439.5</v>
      </c>
      <c r="G53" s="32">
        <v>58.87</v>
      </c>
      <c r="H53" s="35">
        <v>750.0</v>
      </c>
      <c r="I53" s="34">
        <f t="shared" si="2"/>
        <v>44152.5</v>
      </c>
      <c r="J53" s="36">
        <f t="shared" si="3"/>
        <v>347592</v>
      </c>
      <c r="K53" s="29"/>
      <c r="L53" s="29" t="str">
        <f t="shared" si="4"/>
        <v/>
      </c>
      <c r="M53" s="20"/>
      <c r="N53" s="20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30" t="s">
        <v>91</v>
      </c>
      <c r="B54" s="31" t="s">
        <v>90</v>
      </c>
      <c r="C54" s="31" t="s">
        <v>24</v>
      </c>
      <c r="D54" s="32">
        <v>204.4077</v>
      </c>
      <c r="E54" s="33">
        <v>2000.0</v>
      </c>
      <c r="F54" s="34">
        <f t="shared" si="1"/>
        <v>408815.4</v>
      </c>
      <c r="G54" s="32">
        <v>137.1</v>
      </c>
      <c r="H54" s="35">
        <v>750.0</v>
      </c>
      <c r="I54" s="34">
        <f t="shared" si="2"/>
        <v>102825</v>
      </c>
      <c r="J54" s="36">
        <f t="shared" si="3"/>
        <v>511640.4</v>
      </c>
      <c r="K54" s="29"/>
      <c r="L54" s="29" t="str">
        <f t="shared" si="4"/>
        <v/>
      </c>
      <c r="M54" s="20"/>
      <c r="N54" s="20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30" t="s">
        <v>92</v>
      </c>
      <c r="B55" s="31" t="s">
        <v>90</v>
      </c>
      <c r="C55" s="31" t="s">
        <v>24</v>
      </c>
      <c r="D55" s="32">
        <v>133.2261</v>
      </c>
      <c r="E55" s="33">
        <v>2000.0</v>
      </c>
      <c r="F55" s="34">
        <f t="shared" si="1"/>
        <v>266452.2</v>
      </c>
      <c r="G55" s="32">
        <v>62.89</v>
      </c>
      <c r="H55" s="35">
        <v>750.0</v>
      </c>
      <c r="I55" s="34">
        <f t="shared" si="2"/>
        <v>47167.5</v>
      </c>
      <c r="J55" s="36">
        <f t="shared" si="3"/>
        <v>313619.7</v>
      </c>
      <c r="K55" s="29"/>
      <c r="L55" s="29" t="str">
        <f t="shared" si="4"/>
        <v/>
      </c>
      <c r="M55" s="20"/>
      <c r="N55" s="20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30" t="s">
        <v>93</v>
      </c>
      <c r="B56" s="31" t="s">
        <v>67</v>
      </c>
      <c r="C56" s="31" t="s">
        <v>24</v>
      </c>
      <c r="D56" s="32">
        <v>154.3465</v>
      </c>
      <c r="E56" s="38">
        <v>2250.0</v>
      </c>
      <c r="F56" s="34">
        <f t="shared" si="1"/>
        <v>347279.625</v>
      </c>
      <c r="G56" s="32">
        <f>33+99.5</f>
        <v>132.5</v>
      </c>
      <c r="H56" s="35">
        <v>750.0</v>
      </c>
      <c r="I56" s="34">
        <f t="shared" si="2"/>
        <v>99375</v>
      </c>
      <c r="J56" s="36">
        <f t="shared" si="3"/>
        <v>446654.625</v>
      </c>
      <c r="K56" s="29"/>
      <c r="L56" s="29" t="str">
        <f t="shared" si="4"/>
        <v/>
      </c>
      <c r="M56" s="20"/>
      <c r="N56" s="20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30" t="s">
        <v>94</v>
      </c>
      <c r="B57" s="31" t="s">
        <v>90</v>
      </c>
      <c r="C57" s="31" t="s">
        <v>24</v>
      </c>
      <c r="D57" s="32">
        <v>623.5439</v>
      </c>
      <c r="E57" s="33">
        <v>2250.0</v>
      </c>
      <c r="F57" s="34">
        <f t="shared" si="1"/>
        <v>1402973.775</v>
      </c>
      <c r="G57" s="32"/>
      <c r="H57" s="34">
        <v>600.0</v>
      </c>
      <c r="I57" s="34">
        <f t="shared" si="2"/>
        <v>0</v>
      </c>
      <c r="J57" s="36">
        <f t="shared" si="3"/>
        <v>1402973.775</v>
      </c>
      <c r="K57" s="29"/>
      <c r="L57" s="29" t="str">
        <f t="shared" si="4"/>
        <v/>
      </c>
      <c r="M57" s="20"/>
      <c r="N57" s="20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30" t="s">
        <v>95</v>
      </c>
      <c r="B58" s="31" t="s">
        <v>67</v>
      </c>
      <c r="C58" s="31" t="s">
        <v>24</v>
      </c>
      <c r="D58" s="32">
        <v>258.8845</v>
      </c>
      <c r="E58" s="33">
        <v>1500.0</v>
      </c>
      <c r="F58" s="34">
        <f t="shared" si="1"/>
        <v>388326.75</v>
      </c>
      <c r="G58" s="32">
        <v>108.57</v>
      </c>
      <c r="H58" s="35">
        <v>750.0</v>
      </c>
      <c r="I58" s="34">
        <f t="shared" si="2"/>
        <v>81427.5</v>
      </c>
      <c r="J58" s="36">
        <f t="shared" si="3"/>
        <v>469754.25</v>
      </c>
      <c r="K58" s="29"/>
      <c r="L58" s="29" t="str">
        <f t="shared" si="4"/>
        <v/>
      </c>
      <c r="M58" s="20"/>
      <c r="N58" s="20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30" t="s">
        <v>96</v>
      </c>
      <c r="B59" s="31" t="s">
        <v>67</v>
      </c>
      <c r="C59" s="31" t="s">
        <v>24</v>
      </c>
      <c r="D59" s="32">
        <v>44.3688</v>
      </c>
      <c r="E59" s="33">
        <v>3000.0</v>
      </c>
      <c r="F59" s="34">
        <f t="shared" si="1"/>
        <v>133106.4</v>
      </c>
      <c r="G59" s="32">
        <v>58.8</v>
      </c>
      <c r="H59" s="35">
        <v>750.0</v>
      </c>
      <c r="I59" s="34">
        <f t="shared" si="2"/>
        <v>44100</v>
      </c>
      <c r="J59" s="36">
        <f t="shared" si="3"/>
        <v>177206.4</v>
      </c>
      <c r="K59" s="29"/>
      <c r="L59" s="29" t="str">
        <f t="shared" si="4"/>
        <v/>
      </c>
      <c r="M59" s="20"/>
      <c r="N59" s="20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30" t="s">
        <v>97</v>
      </c>
      <c r="B60" s="31" t="s">
        <v>67</v>
      </c>
      <c r="C60" s="31" t="s">
        <v>24</v>
      </c>
      <c r="D60" s="32">
        <v>147.1379</v>
      </c>
      <c r="E60" s="33">
        <v>2500.0</v>
      </c>
      <c r="F60" s="34">
        <f t="shared" si="1"/>
        <v>367844.75</v>
      </c>
      <c r="G60" s="32">
        <v>91.55</v>
      </c>
      <c r="H60" s="35">
        <v>1000.0</v>
      </c>
      <c r="I60" s="34">
        <f t="shared" si="2"/>
        <v>91550</v>
      </c>
      <c r="J60" s="36">
        <f t="shared" si="3"/>
        <v>459394.75</v>
      </c>
      <c r="K60" s="29"/>
      <c r="L60" s="29" t="str">
        <f t="shared" si="4"/>
        <v/>
      </c>
      <c r="M60" s="20"/>
      <c r="N60" s="20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30" t="s">
        <v>98</v>
      </c>
      <c r="B61" s="31" t="s">
        <v>67</v>
      </c>
      <c r="C61" s="31" t="s">
        <v>24</v>
      </c>
      <c r="D61" s="32">
        <v>142.6159</v>
      </c>
      <c r="E61" s="33">
        <v>2500.0</v>
      </c>
      <c r="F61" s="34">
        <f t="shared" si="1"/>
        <v>356539.75</v>
      </c>
      <c r="G61" s="32">
        <v>72.47</v>
      </c>
      <c r="H61" s="35">
        <v>1000.0</v>
      </c>
      <c r="I61" s="34">
        <f t="shared" si="2"/>
        <v>72470</v>
      </c>
      <c r="J61" s="36">
        <f t="shared" si="3"/>
        <v>429009.75</v>
      </c>
      <c r="K61" s="29"/>
      <c r="L61" s="29" t="str">
        <f t="shared" si="4"/>
        <v/>
      </c>
      <c r="M61" s="20"/>
      <c r="N61" s="20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30" t="s">
        <v>99</v>
      </c>
      <c r="B62" s="31" t="s">
        <v>67</v>
      </c>
      <c r="C62" s="31" t="s">
        <v>24</v>
      </c>
      <c r="D62" s="32">
        <v>151.88600000000002</v>
      </c>
      <c r="E62" s="33">
        <v>2500.0</v>
      </c>
      <c r="F62" s="34">
        <f t="shared" si="1"/>
        <v>379715</v>
      </c>
      <c r="G62" s="32">
        <v>89.12</v>
      </c>
      <c r="H62" s="35">
        <v>1000.0</v>
      </c>
      <c r="I62" s="34">
        <f t="shared" si="2"/>
        <v>89120</v>
      </c>
      <c r="J62" s="36">
        <f t="shared" si="3"/>
        <v>468835</v>
      </c>
      <c r="K62" s="29"/>
      <c r="L62" s="29" t="str">
        <f t="shared" si="4"/>
        <v/>
      </c>
      <c r="M62" s="20"/>
      <c r="N62" s="20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30" t="s">
        <v>100</v>
      </c>
      <c r="B63" s="31"/>
      <c r="C63" s="31" t="s">
        <v>24</v>
      </c>
      <c r="D63" s="32">
        <v>228.361</v>
      </c>
      <c r="E63" s="33">
        <v>2000.0</v>
      </c>
      <c r="F63" s="34">
        <f t="shared" si="1"/>
        <v>456722</v>
      </c>
      <c r="G63" s="32"/>
      <c r="H63" s="35">
        <v>750.0</v>
      </c>
      <c r="I63" s="34">
        <f t="shared" si="2"/>
        <v>0</v>
      </c>
      <c r="J63" s="36">
        <f t="shared" si="3"/>
        <v>456722</v>
      </c>
      <c r="K63" s="29"/>
      <c r="L63" s="29" t="str">
        <f t="shared" si="4"/>
        <v/>
      </c>
      <c r="M63" s="20"/>
      <c r="N63" s="20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30" t="s">
        <v>101</v>
      </c>
      <c r="B64" s="31"/>
      <c r="C64" s="31" t="s">
        <v>24</v>
      </c>
      <c r="D64" s="32">
        <v>228.361</v>
      </c>
      <c r="E64" s="33">
        <v>2000.0</v>
      </c>
      <c r="F64" s="34">
        <f t="shared" si="1"/>
        <v>456722</v>
      </c>
      <c r="G64" s="32"/>
      <c r="H64" s="35">
        <v>750.0</v>
      </c>
      <c r="I64" s="34">
        <f t="shared" si="2"/>
        <v>0</v>
      </c>
      <c r="J64" s="36">
        <f t="shared" si="3"/>
        <v>456722</v>
      </c>
      <c r="K64" s="29"/>
      <c r="L64" s="29" t="str">
        <f t="shared" si="4"/>
        <v/>
      </c>
      <c r="M64" s="20"/>
      <c r="N64" s="20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40" t="s">
        <v>102</v>
      </c>
      <c r="B65" s="41"/>
      <c r="C65" s="41" t="s">
        <v>24</v>
      </c>
      <c r="D65" s="42">
        <v>228.361</v>
      </c>
      <c r="E65" s="43">
        <v>2000.0</v>
      </c>
      <c r="F65" s="44">
        <f t="shared" si="1"/>
        <v>456722</v>
      </c>
      <c r="G65" s="42"/>
      <c r="H65" s="35">
        <v>750.0</v>
      </c>
      <c r="I65" s="44">
        <f t="shared" si="2"/>
        <v>0</v>
      </c>
      <c r="J65" s="45">
        <f t="shared" si="3"/>
        <v>456722</v>
      </c>
      <c r="K65" s="29"/>
      <c r="L65" s="29" t="str">
        <f t="shared" si="4"/>
        <v/>
      </c>
      <c r="M65" s="20"/>
      <c r="N65" s="20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46"/>
      <c r="B66" s="20"/>
      <c r="C66" s="20"/>
      <c r="D66" s="47"/>
      <c r="E66" s="48"/>
      <c r="F66" s="29"/>
      <c r="G66" s="47"/>
      <c r="H66" s="29"/>
      <c r="I66" s="29"/>
      <c r="J66" s="29"/>
      <c r="K66" s="29"/>
      <c r="L66" s="29"/>
      <c r="M66" s="20"/>
      <c r="N66" s="20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49" t="s">
        <v>103</v>
      </c>
      <c r="B67" s="22" t="s">
        <v>23</v>
      </c>
      <c r="C67" s="22" t="s">
        <v>104</v>
      </c>
      <c r="D67" s="26">
        <v>307.9</v>
      </c>
      <c r="E67" s="50">
        <v>3500.0</v>
      </c>
      <c r="F67" s="25">
        <f t="shared" ref="F67:F85" si="5">IF(OR(D67="",E67=""),"",D67*E67)</f>
        <v>1077650</v>
      </c>
      <c r="G67" s="51"/>
      <c r="H67" s="25"/>
      <c r="I67" s="25"/>
      <c r="J67" s="28">
        <f t="shared" ref="J67:J85" si="6">I67+F67</f>
        <v>1077650</v>
      </c>
      <c r="K67" s="29"/>
      <c r="L67" s="29"/>
      <c r="M67" s="20"/>
      <c r="N67" s="20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52" t="s">
        <v>105</v>
      </c>
      <c r="B68" s="31" t="s">
        <v>23</v>
      </c>
      <c r="C68" s="31" t="s">
        <v>104</v>
      </c>
      <c r="D68" s="32">
        <v>266.8</v>
      </c>
      <c r="E68" s="53">
        <v>3250.0</v>
      </c>
      <c r="F68" s="34">
        <f t="shared" si="5"/>
        <v>867100</v>
      </c>
      <c r="G68" s="54"/>
      <c r="H68" s="34"/>
      <c r="I68" s="34"/>
      <c r="J68" s="36">
        <f t="shared" si="6"/>
        <v>867100</v>
      </c>
      <c r="K68" s="29"/>
      <c r="L68" s="29"/>
      <c r="M68" s="20"/>
      <c r="N68" s="20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52" t="s">
        <v>106</v>
      </c>
      <c r="B69" s="31" t="s">
        <v>23</v>
      </c>
      <c r="C69" s="31" t="s">
        <v>104</v>
      </c>
      <c r="D69" s="32">
        <v>71.4</v>
      </c>
      <c r="E69" s="53">
        <v>3250.0</v>
      </c>
      <c r="F69" s="34">
        <f t="shared" si="5"/>
        <v>232050</v>
      </c>
      <c r="G69" s="54"/>
      <c r="H69" s="34"/>
      <c r="I69" s="34"/>
      <c r="J69" s="36">
        <f t="shared" si="6"/>
        <v>232050</v>
      </c>
      <c r="K69" s="29"/>
      <c r="L69" s="29"/>
      <c r="M69" s="20"/>
      <c r="N69" s="20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52" t="s">
        <v>107</v>
      </c>
      <c r="B70" s="31" t="s">
        <v>23</v>
      </c>
      <c r="C70" s="31" t="s">
        <v>104</v>
      </c>
      <c r="D70" s="32">
        <v>82.8</v>
      </c>
      <c r="E70" s="53">
        <v>3000.0</v>
      </c>
      <c r="F70" s="34">
        <f t="shared" si="5"/>
        <v>248400</v>
      </c>
      <c r="G70" s="54"/>
      <c r="H70" s="34"/>
      <c r="I70" s="34"/>
      <c r="J70" s="36">
        <f t="shared" si="6"/>
        <v>248400</v>
      </c>
      <c r="K70" s="29"/>
      <c r="L70" s="29"/>
      <c r="M70" s="20"/>
      <c r="N70" s="20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52" t="s">
        <v>108</v>
      </c>
      <c r="B71" s="31" t="s">
        <v>23</v>
      </c>
      <c r="C71" s="31" t="s">
        <v>104</v>
      </c>
      <c r="D71" s="32">
        <v>370.0</v>
      </c>
      <c r="E71" s="53">
        <v>2800.0</v>
      </c>
      <c r="F71" s="34">
        <f t="shared" si="5"/>
        <v>1036000</v>
      </c>
      <c r="G71" s="54"/>
      <c r="H71" s="34"/>
      <c r="I71" s="34"/>
      <c r="J71" s="36">
        <f t="shared" si="6"/>
        <v>1036000</v>
      </c>
      <c r="K71" s="29"/>
      <c r="L71" s="29"/>
      <c r="M71" s="20"/>
      <c r="N71" s="20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52" t="s">
        <v>109</v>
      </c>
      <c r="B72" s="31" t="s">
        <v>23</v>
      </c>
      <c r="C72" s="31" t="s">
        <v>104</v>
      </c>
      <c r="D72" s="32">
        <v>161.5</v>
      </c>
      <c r="E72" s="53">
        <v>2800.0</v>
      </c>
      <c r="F72" s="34">
        <f t="shared" si="5"/>
        <v>452200</v>
      </c>
      <c r="G72" s="54">
        <f>64.12+29.78</f>
        <v>93.9</v>
      </c>
      <c r="H72" s="34">
        <v>650.0</v>
      </c>
      <c r="I72" s="34">
        <f>G72*H72</f>
        <v>61035</v>
      </c>
      <c r="J72" s="36">
        <f t="shared" si="6"/>
        <v>513235</v>
      </c>
      <c r="K72" s="29"/>
      <c r="L72" s="29"/>
      <c r="M72" s="20"/>
      <c r="N72" s="20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52" t="s">
        <v>110</v>
      </c>
      <c r="B73" s="31" t="s">
        <v>23</v>
      </c>
      <c r="C73" s="31" t="s">
        <v>104</v>
      </c>
      <c r="D73" s="32">
        <v>181.3</v>
      </c>
      <c r="E73" s="53">
        <v>3000.0</v>
      </c>
      <c r="F73" s="34">
        <f t="shared" si="5"/>
        <v>543900</v>
      </c>
      <c r="G73" s="54"/>
      <c r="H73" s="34"/>
      <c r="I73" s="34"/>
      <c r="J73" s="36">
        <f t="shared" si="6"/>
        <v>543900</v>
      </c>
      <c r="K73" s="29"/>
      <c r="L73" s="29"/>
      <c r="M73" s="20"/>
      <c r="N73" s="20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52" t="s">
        <v>111</v>
      </c>
      <c r="B74" s="31" t="s">
        <v>23</v>
      </c>
      <c r="C74" s="31" t="s">
        <v>104</v>
      </c>
      <c r="D74" s="32">
        <v>133.4</v>
      </c>
      <c r="E74" s="53">
        <v>3000.0</v>
      </c>
      <c r="F74" s="34">
        <f t="shared" si="5"/>
        <v>400200</v>
      </c>
      <c r="G74" s="54"/>
      <c r="H74" s="34"/>
      <c r="I74" s="34"/>
      <c r="J74" s="36">
        <f t="shared" si="6"/>
        <v>400200</v>
      </c>
      <c r="K74" s="29"/>
      <c r="L74" s="29"/>
      <c r="M74" s="20"/>
      <c r="N74" s="20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52" t="s">
        <v>112</v>
      </c>
      <c r="B75" s="31" t="s">
        <v>23</v>
      </c>
      <c r="C75" s="31" t="s">
        <v>104</v>
      </c>
      <c r="D75" s="32">
        <v>128.4</v>
      </c>
      <c r="E75" s="53">
        <v>3000.0</v>
      </c>
      <c r="F75" s="34">
        <f t="shared" si="5"/>
        <v>385200</v>
      </c>
      <c r="G75" s="54"/>
      <c r="H75" s="34"/>
      <c r="I75" s="34"/>
      <c r="J75" s="36">
        <f t="shared" si="6"/>
        <v>385200</v>
      </c>
      <c r="K75" s="29"/>
      <c r="L75" s="29"/>
      <c r="M75" s="20"/>
      <c r="N75" s="20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52" t="s">
        <v>113</v>
      </c>
      <c r="B76" s="31" t="s">
        <v>76</v>
      </c>
      <c r="C76" s="31" t="s">
        <v>104</v>
      </c>
      <c r="D76" s="32">
        <v>937.1</v>
      </c>
      <c r="E76" s="53">
        <v>2250.0</v>
      </c>
      <c r="F76" s="34">
        <f t="shared" si="5"/>
        <v>2108475</v>
      </c>
      <c r="G76" s="54"/>
      <c r="H76" s="34"/>
      <c r="I76" s="34"/>
      <c r="J76" s="36">
        <f t="shared" si="6"/>
        <v>2108475</v>
      </c>
      <c r="K76" s="29"/>
      <c r="L76" s="29"/>
      <c r="M76" s="20"/>
      <c r="N76" s="20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52" t="s">
        <v>114</v>
      </c>
      <c r="B77" s="31" t="s">
        <v>23</v>
      </c>
      <c r="C77" s="31" t="s">
        <v>104</v>
      </c>
      <c r="D77" s="32">
        <v>96.5</v>
      </c>
      <c r="E77" s="53">
        <v>3000.0</v>
      </c>
      <c r="F77" s="34">
        <f t="shared" si="5"/>
        <v>289500</v>
      </c>
      <c r="G77" s="54"/>
      <c r="H77" s="34"/>
      <c r="I77" s="34"/>
      <c r="J77" s="36">
        <f t="shared" si="6"/>
        <v>289500</v>
      </c>
      <c r="K77" s="29"/>
      <c r="L77" s="29"/>
      <c r="M77" s="20"/>
      <c r="N77" s="20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52" t="s">
        <v>115</v>
      </c>
      <c r="B78" s="31" t="s">
        <v>23</v>
      </c>
      <c r="C78" s="31" t="s">
        <v>104</v>
      </c>
      <c r="D78" s="32">
        <v>164.9</v>
      </c>
      <c r="E78" s="53">
        <v>3000.0</v>
      </c>
      <c r="F78" s="34">
        <f t="shared" si="5"/>
        <v>494700</v>
      </c>
      <c r="G78" s="54"/>
      <c r="H78" s="34"/>
      <c r="I78" s="34"/>
      <c r="J78" s="36">
        <f t="shared" si="6"/>
        <v>494700</v>
      </c>
      <c r="K78" s="29"/>
      <c r="L78" s="29"/>
      <c r="M78" s="20"/>
      <c r="N78" s="20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55" t="s">
        <v>116</v>
      </c>
      <c r="B79" s="31" t="s">
        <v>23</v>
      </c>
      <c r="C79" s="31" t="s">
        <v>104</v>
      </c>
      <c r="D79" s="32">
        <v>141.3</v>
      </c>
      <c r="E79" s="53">
        <v>2800.0</v>
      </c>
      <c r="F79" s="34">
        <f t="shared" si="5"/>
        <v>395640</v>
      </c>
      <c r="G79" s="54"/>
      <c r="H79" s="34"/>
      <c r="I79" s="34"/>
      <c r="J79" s="36">
        <f t="shared" si="6"/>
        <v>395640</v>
      </c>
      <c r="K79" s="29"/>
      <c r="L79" s="29"/>
      <c r="M79" s="20"/>
      <c r="N79" s="20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52" t="s">
        <v>117</v>
      </c>
      <c r="B80" s="31" t="s">
        <v>23</v>
      </c>
      <c r="C80" s="31" t="s">
        <v>104</v>
      </c>
      <c r="D80" s="32">
        <v>164.9</v>
      </c>
      <c r="E80" s="53">
        <v>2800.0</v>
      </c>
      <c r="F80" s="34">
        <f t="shared" si="5"/>
        <v>461720</v>
      </c>
      <c r="G80" s="54"/>
      <c r="H80" s="34"/>
      <c r="I80" s="34"/>
      <c r="J80" s="36">
        <f t="shared" si="6"/>
        <v>461720</v>
      </c>
      <c r="K80" s="29"/>
      <c r="L80" s="29"/>
      <c r="M80" s="20"/>
      <c r="N80" s="20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52" t="s">
        <v>118</v>
      </c>
      <c r="B81" s="31" t="s">
        <v>23</v>
      </c>
      <c r="C81" s="31" t="s">
        <v>104</v>
      </c>
      <c r="D81" s="32">
        <v>81.9</v>
      </c>
      <c r="E81" s="53">
        <v>2800.0</v>
      </c>
      <c r="F81" s="34">
        <f t="shared" si="5"/>
        <v>229320</v>
      </c>
      <c r="G81" s="54"/>
      <c r="H81" s="34"/>
      <c r="I81" s="34"/>
      <c r="J81" s="36">
        <f t="shared" si="6"/>
        <v>229320</v>
      </c>
      <c r="K81" s="29"/>
      <c r="L81" s="29"/>
      <c r="M81" s="20"/>
      <c r="N81" s="20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52" t="s">
        <v>119</v>
      </c>
      <c r="B82" s="31" t="s">
        <v>23</v>
      </c>
      <c r="C82" s="31" t="s">
        <v>104</v>
      </c>
      <c r="D82" s="32">
        <v>89.1</v>
      </c>
      <c r="E82" s="53">
        <v>3000.0</v>
      </c>
      <c r="F82" s="34">
        <f t="shared" si="5"/>
        <v>267300</v>
      </c>
      <c r="G82" s="54"/>
      <c r="H82" s="34"/>
      <c r="I82" s="34"/>
      <c r="J82" s="36">
        <f t="shared" si="6"/>
        <v>267300</v>
      </c>
      <c r="K82" s="29"/>
      <c r="L82" s="29"/>
      <c r="M82" s="20"/>
      <c r="N82" s="20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52" t="s">
        <v>120</v>
      </c>
      <c r="B83" s="31" t="s">
        <v>23</v>
      </c>
      <c r="C83" s="31" t="s">
        <v>104</v>
      </c>
      <c r="D83" s="32">
        <v>72.6</v>
      </c>
      <c r="E83" s="53">
        <v>3250.0</v>
      </c>
      <c r="F83" s="34">
        <f t="shared" si="5"/>
        <v>235950</v>
      </c>
      <c r="G83" s="54"/>
      <c r="H83" s="34"/>
      <c r="I83" s="34"/>
      <c r="J83" s="36">
        <f t="shared" si="6"/>
        <v>235950</v>
      </c>
      <c r="K83" s="29"/>
      <c r="L83" s="29"/>
      <c r="M83" s="20"/>
      <c r="N83" s="20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52" t="s">
        <v>121</v>
      </c>
      <c r="B84" s="31" t="s">
        <v>23</v>
      </c>
      <c r="C84" s="31" t="s">
        <v>104</v>
      </c>
      <c r="D84" s="32">
        <v>349.6</v>
      </c>
      <c r="E84" s="53">
        <v>3500.0</v>
      </c>
      <c r="F84" s="34">
        <f t="shared" si="5"/>
        <v>1223600</v>
      </c>
      <c r="G84" s="54"/>
      <c r="H84" s="34"/>
      <c r="I84" s="34"/>
      <c r="J84" s="36">
        <f t="shared" si="6"/>
        <v>1223600</v>
      </c>
      <c r="K84" s="29"/>
      <c r="L84" s="29"/>
      <c r="M84" s="20"/>
      <c r="N84" s="20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56" t="s">
        <v>122</v>
      </c>
      <c r="B85" s="41" t="s">
        <v>23</v>
      </c>
      <c r="C85" s="41" t="s">
        <v>104</v>
      </c>
      <c r="D85" s="42">
        <v>360.0</v>
      </c>
      <c r="E85" s="57">
        <v>3500.0</v>
      </c>
      <c r="F85" s="44">
        <f t="shared" si="5"/>
        <v>1260000</v>
      </c>
      <c r="G85" s="58"/>
      <c r="H85" s="44"/>
      <c r="I85" s="44"/>
      <c r="J85" s="45">
        <f t="shared" si="6"/>
        <v>1260000</v>
      </c>
      <c r="K85" s="29"/>
      <c r="L85" s="29"/>
      <c r="M85" s="20"/>
      <c r="N85" s="20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46"/>
      <c r="B86" s="20"/>
      <c r="C86" s="20"/>
      <c r="D86" s="47"/>
      <c r="E86" s="48"/>
      <c r="F86" s="29"/>
      <c r="G86" s="47"/>
      <c r="H86" s="29"/>
      <c r="I86" s="29"/>
      <c r="J86" s="29"/>
      <c r="K86" s="29"/>
      <c r="L86" s="29"/>
      <c r="M86" s="20"/>
      <c r="N86" s="20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49" t="s">
        <v>123</v>
      </c>
      <c r="B87" s="22" t="s">
        <v>67</v>
      </c>
      <c r="C87" s="22" t="s">
        <v>104</v>
      </c>
      <c r="D87" s="59">
        <v>155.3041</v>
      </c>
      <c r="E87" s="24">
        <v>1800.0</v>
      </c>
      <c r="F87" s="25">
        <f t="shared" ref="F87:F106" si="7">IF(OR(D87="",E87=""),"",D87*E87)</f>
        <v>279547.38</v>
      </c>
      <c r="G87" s="26"/>
      <c r="H87" s="25"/>
      <c r="I87" s="25"/>
      <c r="J87" s="28">
        <f t="shared" ref="J87:J106" si="8">I87+F87</f>
        <v>279547.38</v>
      </c>
      <c r="K87" s="29"/>
      <c r="L87" s="29"/>
      <c r="M87" s="20"/>
      <c r="N87" s="20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52" t="s">
        <v>124</v>
      </c>
      <c r="B88" s="31" t="s">
        <v>125</v>
      </c>
      <c r="C88" s="31" t="s">
        <v>104</v>
      </c>
      <c r="D88" s="60">
        <v>56.711200000000005</v>
      </c>
      <c r="E88" s="33">
        <v>2500.0</v>
      </c>
      <c r="F88" s="34">
        <f t="shared" si="7"/>
        <v>141778</v>
      </c>
      <c r="G88" s="32"/>
      <c r="H88" s="34"/>
      <c r="I88" s="34"/>
      <c r="J88" s="36">
        <f t="shared" si="8"/>
        <v>141778</v>
      </c>
      <c r="K88" s="29"/>
      <c r="L88" s="29"/>
      <c r="M88" s="20"/>
      <c r="N88" s="20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52" t="s">
        <v>126</v>
      </c>
      <c r="B89" s="31" t="s">
        <v>125</v>
      </c>
      <c r="C89" s="31" t="s">
        <v>104</v>
      </c>
      <c r="D89" s="60">
        <v>57.283100000000005</v>
      </c>
      <c r="E89" s="33">
        <v>2500.0</v>
      </c>
      <c r="F89" s="34">
        <f t="shared" si="7"/>
        <v>143207.75</v>
      </c>
      <c r="G89" s="32"/>
      <c r="H89" s="34"/>
      <c r="I89" s="34"/>
      <c r="J89" s="36">
        <f t="shared" si="8"/>
        <v>143207.75</v>
      </c>
      <c r="K89" s="29"/>
      <c r="L89" s="29"/>
      <c r="M89" s="20"/>
      <c r="N89" s="20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52" t="s">
        <v>127</v>
      </c>
      <c r="B90" s="31" t="s">
        <v>125</v>
      </c>
      <c r="C90" s="31" t="s">
        <v>104</v>
      </c>
      <c r="D90" s="60">
        <v>56.27230000000001</v>
      </c>
      <c r="E90" s="33">
        <v>2500.0</v>
      </c>
      <c r="F90" s="34">
        <f t="shared" si="7"/>
        <v>140680.75</v>
      </c>
      <c r="G90" s="32"/>
      <c r="H90" s="34"/>
      <c r="I90" s="34"/>
      <c r="J90" s="36">
        <f t="shared" si="8"/>
        <v>140680.75</v>
      </c>
      <c r="K90" s="29"/>
      <c r="L90" s="29"/>
      <c r="M90" s="20"/>
      <c r="N90" s="20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52" t="s">
        <v>128</v>
      </c>
      <c r="B91" s="31" t="s">
        <v>125</v>
      </c>
      <c r="C91" s="31" t="s">
        <v>104</v>
      </c>
      <c r="D91" s="60">
        <v>103.7267</v>
      </c>
      <c r="E91" s="33">
        <v>2500.0</v>
      </c>
      <c r="F91" s="34">
        <f t="shared" si="7"/>
        <v>259316.75</v>
      </c>
      <c r="G91" s="32"/>
      <c r="H91" s="34"/>
      <c r="I91" s="34"/>
      <c r="J91" s="36">
        <f t="shared" si="8"/>
        <v>259316.75</v>
      </c>
      <c r="K91" s="29"/>
      <c r="L91" s="29"/>
      <c r="M91" s="20"/>
      <c r="N91" s="20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61" t="s">
        <v>129</v>
      </c>
      <c r="B92" s="62" t="s">
        <v>130</v>
      </c>
      <c r="C92" s="62" t="s">
        <v>104</v>
      </c>
      <c r="D92" s="63">
        <v>176.358</v>
      </c>
      <c r="E92" s="64">
        <v>2500.0</v>
      </c>
      <c r="F92" s="65">
        <f t="shared" si="7"/>
        <v>440895</v>
      </c>
      <c r="G92" s="66">
        <v>96.62</v>
      </c>
      <c r="H92" s="65">
        <v>650.0</v>
      </c>
      <c r="I92" s="65">
        <f>G92*H92</f>
        <v>62803</v>
      </c>
      <c r="J92" s="67">
        <f t="shared" si="8"/>
        <v>503698</v>
      </c>
      <c r="K92" s="29"/>
      <c r="L92" s="29"/>
      <c r="M92" s="20"/>
      <c r="N92" s="20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52" t="s">
        <v>131</v>
      </c>
      <c r="B93" s="31" t="s">
        <v>84</v>
      </c>
      <c r="C93" s="31" t="s">
        <v>104</v>
      </c>
      <c r="D93" s="60">
        <v>164.62740000000002</v>
      </c>
      <c r="E93" s="53">
        <v>1600.0</v>
      </c>
      <c r="F93" s="34">
        <f t="shared" si="7"/>
        <v>263403.84</v>
      </c>
      <c r="G93" s="32"/>
      <c r="H93" s="34"/>
      <c r="I93" s="34"/>
      <c r="J93" s="36">
        <f t="shared" si="8"/>
        <v>263403.84</v>
      </c>
      <c r="K93" s="29"/>
      <c r="L93" s="29"/>
      <c r="M93" s="20"/>
      <c r="N93" s="20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52" t="s">
        <v>132</v>
      </c>
      <c r="B94" s="31" t="s">
        <v>84</v>
      </c>
      <c r="C94" s="31" t="s">
        <v>104</v>
      </c>
      <c r="D94" s="60">
        <v>168.4578</v>
      </c>
      <c r="E94" s="53">
        <v>1600.0</v>
      </c>
      <c r="F94" s="34">
        <f t="shared" si="7"/>
        <v>269532.48</v>
      </c>
      <c r="G94" s="32"/>
      <c r="H94" s="34"/>
      <c r="I94" s="34"/>
      <c r="J94" s="36">
        <f t="shared" si="8"/>
        <v>269532.48</v>
      </c>
      <c r="K94" s="29"/>
      <c r="L94" s="29"/>
      <c r="M94" s="20"/>
      <c r="N94" s="20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52" t="s">
        <v>133</v>
      </c>
      <c r="B95" s="31" t="s">
        <v>84</v>
      </c>
      <c r="C95" s="31" t="s">
        <v>104</v>
      </c>
      <c r="D95" s="60">
        <v>165.5584</v>
      </c>
      <c r="E95" s="53">
        <v>1600.0</v>
      </c>
      <c r="F95" s="34">
        <f t="shared" si="7"/>
        <v>264893.44</v>
      </c>
      <c r="G95" s="32"/>
      <c r="H95" s="34"/>
      <c r="I95" s="34"/>
      <c r="J95" s="36">
        <f t="shared" si="8"/>
        <v>264893.44</v>
      </c>
      <c r="K95" s="29"/>
      <c r="L95" s="29"/>
      <c r="M95" s="20"/>
      <c r="N95" s="20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52" t="s">
        <v>134</v>
      </c>
      <c r="B96" s="31" t="s">
        <v>135</v>
      </c>
      <c r="C96" s="31" t="s">
        <v>104</v>
      </c>
      <c r="D96" s="60">
        <v>158.74880000000002</v>
      </c>
      <c r="E96" s="53">
        <v>1350.0</v>
      </c>
      <c r="F96" s="34">
        <f t="shared" si="7"/>
        <v>214310.88</v>
      </c>
      <c r="G96" s="32">
        <v>96.35</v>
      </c>
      <c r="H96" s="34">
        <v>650.0</v>
      </c>
      <c r="I96" s="34">
        <f>G96*H96</f>
        <v>62627.5</v>
      </c>
      <c r="J96" s="36">
        <f t="shared" si="8"/>
        <v>276938.38</v>
      </c>
      <c r="K96" s="29"/>
      <c r="L96" s="29"/>
      <c r="M96" s="20"/>
      <c r="N96" s="20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52" t="s">
        <v>136</v>
      </c>
      <c r="B97" s="31" t="s">
        <v>137</v>
      </c>
      <c r="C97" s="31" t="s">
        <v>104</v>
      </c>
      <c r="D97" s="60">
        <v>874.5681000000001</v>
      </c>
      <c r="E97" s="53">
        <v>1350.0</v>
      </c>
      <c r="F97" s="34">
        <f t="shared" si="7"/>
        <v>1180666.935</v>
      </c>
      <c r="G97" s="32"/>
      <c r="H97" s="34"/>
      <c r="I97" s="34"/>
      <c r="J97" s="36">
        <f t="shared" si="8"/>
        <v>1180666.935</v>
      </c>
      <c r="K97" s="29"/>
      <c r="L97" s="29"/>
      <c r="M97" s="20"/>
      <c r="N97" s="20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52" t="s">
        <v>138</v>
      </c>
      <c r="B98" s="31" t="s">
        <v>84</v>
      </c>
      <c r="C98" s="31" t="s">
        <v>104</v>
      </c>
      <c r="D98" s="60">
        <v>129.75480000000002</v>
      </c>
      <c r="E98" s="53">
        <v>1600.0</v>
      </c>
      <c r="F98" s="34">
        <f t="shared" si="7"/>
        <v>207607.68</v>
      </c>
      <c r="G98" s="32"/>
      <c r="H98" s="34"/>
      <c r="I98" s="34"/>
      <c r="J98" s="36">
        <f t="shared" si="8"/>
        <v>207607.68</v>
      </c>
      <c r="K98" s="29"/>
      <c r="L98" s="29"/>
      <c r="M98" s="20"/>
      <c r="N98" s="20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52" t="s">
        <v>139</v>
      </c>
      <c r="B99" s="31" t="s">
        <v>84</v>
      </c>
      <c r="C99" s="31" t="s">
        <v>104</v>
      </c>
      <c r="D99" s="60">
        <v>136.1388</v>
      </c>
      <c r="E99" s="53">
        <v>1600.0</v>
      </c>
      <c r="F99" s="34">
        <f t="shared" si="7"/>
        <v>217822.08</v>
      </c>
      <c r="G99" s="32"/>
      <c r="H99" s="34"/>
      <c r="I99" s="34"/>
      <c r="J99" s="36">
        <f t="shared" si="8"/>
        <v>217822.08</v>
      </c>
      <c r="K99" s="29"/>
      <c r="L99" s="29"/>
      <c r="M99" s="20"/>
      <c r="N99" s="20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52" t="s">
        <v>140</v>
      </c>
      <c r="B100" s="31" t="s">
        <v>84</v>
      </c>
      <c r="C100" s="31" t="s">
        <v>104</v>
      </c>
      <c r="D100" s="60">
        <v>130.1671</v>
      </c>
      <c r="E100" s="53">
        <v>1600.0</v>
      </c>
      <c r="F100" s="34">
        <f t="shared" si="7"/>
        <v>208267.36</v>
      </c>
      <c r="G100" s="32"/>
      <c r="H100" s="34"/>
      <c r="I100" s="34"/>
      <c r="J100" s="36">
        <f t="shared" si="8"/>
        <v>208267.36</v>
      </c>
      <c r="K100" s="29"/>
      <c r="L100" s="29"/>
      <c r="M100" s="20"/>
      <c r="N100" s="20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52" t="s">
        <v>141</v>
      </c>
      <c r="B101" s="31" t="s">
        <v>125</v>
      </c>
      <c r="C101" s="31" t="s">
        <v>104</v>
      </c>
      <c r="D101" s="60">
        <v>398.96010000000007</v>
      </c>
      <c r="E101" s="53">
        <v>1450.0</v>
      </c>
      <c r="F101" s="34">
        <f t="shared" si="7"/>
        <v>578492.145</v>
      </c>
      <c r="G101" s="32"/>
      <c r="H101" s="34"/>
      <c r="I101" s="34"/>
      <c r="J101" s="36">
        <f t="shared" si="8"/>
        <v>578492.145</v>
      </c>
      <c r="K101" s="29"/>
      <c r="L101" s="29"/>
      <c r="M101" s="20"/>
      <c r="N101" s="20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52" t="s">
        <v>142</v>
      </c>
      <c r="B102" s="31" t="s">
        <v>125</v>
      </c>
      <c r="C102" s="31" t="s">
        <v>104</v>
      </c>
      <c r="D102" s="60">
        <v>135.40730000000002</v>
      </c>
      <c r="E102" s="53">
        <v>2500.0</v>
      </c>
      <c r="F102" s="34">
        <f t="shared" si="7"/>
        <v>338518.25</v>
      </c>
      <c r="G102" s="32"/>
      <c r="H102" s="34"/>
      <c r="I102" s="34"/>
      <c r="J102" s="36">
        <f t="shared" si="8"/>
        <v>338518.25</v>
      </c>
      <c r="K102" s="29"/>
      <c r="L102" s="29"/>
      <c r="M102" s="20"/>
      <c r="N102" s="20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52" t="s">
        <v>143</v>
      </c>
      <c r="B103" s="31" t="s">
        <v>125</v>
      </c>
      <c r="C103" s="31" t="s">
        <v>104</v>
      </c>
      <c r="D103" s="60">
        <v>65.0902</v>
      </c>
      <c r="E103" s="53">
        <v>2500.0</v>
      </c>
      <c r="F103" s="34">
        <f t="shared" si="7"/>
        <v>162725.5</v>
      </c>
      <c r="G103" s="32"/>
      <c r="H103" s="34"/>
      <c r="I103" s="34"/>
      <c r="J103" s="36">
        <f t="shared" si="8"/>
        <v>162725.5</v>
      </c>
      <c r="K103" s="29"/>
      <c r="L103" s="29"/>
      <c r="M103" s="20"/>
      <c r="N103" s="20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52" t="s">
        <v>144</v>
      </c>
      <c r="B104" s="31" t="s">
        <v>125</v>
      </c>
      <c r="C104" s="31" t="s">
        <v>104</v>
      </c>
      <c r="D104" s="60">
        <v>69.7718</v>
      </c>
      <c r="E104" s="53">
        <v>2500.0</v>
      </c>
      <c r="F104" s="34">
        <f t="shared" si="7"/>
        <v>174429.5</v>
      </c>
      <c r="G104" s="32"/>
      <c r="H104" s="34"/>
      <c r="I104" s="34"/>
      <c r="J104" s="36">
        <f t="shared" si="8"/>
        <v>174429.5</v>
      </c>
      <c r="K104" s="29"/>
      <c r="L104" s="29"/>
      <c r="M104" s="20"/>
      <c r="N104" s="20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52" t="s">
        <v>145</v>
      </c>
      <c r="B105" s="31" t="s">
        <v>125</v>
      </c>
      <c r="C105" s="31" t="s">
        <v>104</v>
      </c>
      <c r="D105" s="60">
        <v>69.1733</v>
      </c>
      <c r="E105" s="53">
        <v>2500.0</v>
      </c>
      <c r="F105" s="34">
        <f t="shared" si="7"/>
        <v>172933.25</v>
      </c>
      <c r="G105" s="32"/>
      <c r="H105" s="34"/>
      <c r="I105" s="34"/>
      <c r="J105" s="36">
        <f t="shared" si="8"/>
        <v>172933.25</v>
      </c>
      <c r="K105" s="29"/>
      <c r="L105" s="29"/>
      <c r="M105" s="20"/>
      <c r="N105" s="20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56" t="s">
        <v>146</v>
      </c>
      <c r="B106" s="41" t="s">
        <v>147</v>
      </c>
      <c r="C106" s="41" t="s">
        <v>104</v>
      </c>
      <c r="D106" s="68">
        <v>671.8894</v>
      </c>
      <c r="E106" s="57">
        <v>1600.0</v>
      </c>
      <c r="F106" s="44">
        <f t="shared" si="7"/>
        <v>1075023.04</v>
      </c>
      <c r="G106" s="42"/>
      <c r="H106" s="44"/>
      <c r="I106" s="44"/>
      <c r="J106" s="45">
        <f t="shared" si="8"/>
        <v>1075023.04</v>
      </c>
      <c r="K106" s="29"/>
      <c r="L106" s="29"/>
      <c r="M106" s="20"/>
      <c r="N106" s="20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46"/>
      <c r="B107" s="20"/>
      <c r="C107" s="20"/>
      <c r="D107" s="47"/>
      <c r="E107" s="48"/>
      <c r="F107" s="29"/>
      <c r="G107" s="47"/>
      <c r="H107" s="29"/>
      <c r="I107" s="29"/>
      <c r="J107" s="29"/>
      <c r="K107" s="29"/>
      <c r="L107" s="29"/>
      <c r="M107" s="20"/>
      <c r="N107" s="20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49" t="s">
        <v>148</v>
      </c>
      <c r="B108" s="22"/>
      <c r="C108" s="22" t="s">
        <v>104</v>
      </c>
      <c r="D108" s="26">
        <v>228.361</v>
      </c>
      <c r="E108" s="24">
        <v>1900.0</v>
      </c>
      <c r="F108" s="25">
        <f t="shared" ref="F108:F110" si="9">IF(OR(D108="",E108=""),"",D108*E108)</f>
        <v>433885.9</v>
      </c>
      <c r="G108" s="26"/>
      <c r="H108" s="25"/>
      <c r="I108" s="25"/>
      <c r="J108" s="28">
        <f t="shared" ref="J108:J110" si="10">I108+F108</f>
        <v>433885.9</v>
      </c>
      <c r="K108" s="29"/>
      <c r="L108" s="29"/>
      <c r="M108" s="20"/>
      <c r="N108" s="20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52" t="s">
        <v>149</v>
      </c>
      <c r="B109" s="31"/>
      <c r="C109" s="31" t="s">
        <v>104</v>
      </c>
      <c r="D109" s="32">
        <v>228.361</v>
      </c>
      <c r="E109" s="33">
        <v>1900.0</v>
      </c>
      <c r="F109" s="34">
        <f t="shared" si="9"/>
        <v>433885.9</v>
      </c>
      <c r="G109" s="32"/>
      <c r="H109" s="34"/>
      <c r="I109" s="34"/>
      <c r="J109" s="36">
        <f t="shared" si="10"/>
        <v>433885.9</v>
      </c>
      <c r="K109" s="29"/>
      <c r="L109" s="29"/>
      <c r="M109" s="20"/>
      <c r="N109" s="20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56" t="s">
        <v>150</v>
      </c>
      <c r="B110" s="41"/>
      <c r="C110" s="41" t="s">
        <v>104</v>
      </c>
      <c r="D110" s="42">
        <v>228.361</v>
      </c>
      <c r="E110" s="43">
        <v>1900.0</v>
      </c>
      <c r="F110" s="44">
        <f t="shared" si="9"/>
        <v>433885.9</v>
      </c>
      <c r="G110" s="42"/>
      <c r="H110" s="44"/>
      <c r="I110" s="44"/>
      <c r="J110" s="45">
        <f t="shared" si="10"/>
        <v>433885.9</v>
      </c>
      <c r="K110" s="29"/>
      <c r="L110" s="29"/>
      <c r="M110" s="20"/>
      <c r="N110" s="20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46"/>
      <c r="B111" s="20"/>
      <c r="C111" s="20"/>
      <c r="D111" s="47"/>
      <c r="E111" s="48"/>
      <c r="F111" s="29"/>
      <c r="G111" s="47"/>
      <c r="H111" s="29"/>
      <c r="I111" s="29"/>
      <c r="J111" s="69">
        <f>SUM(J3:J110)</f>
        <v>47458248.72</v>
      </c>
      <c r="K111" s="29"/>
      <c r="L111" s="29"/>
      <c r="M111" s="20"/>
      <c r="N111" s="20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46"/>
      <c r="B112" s="20"/>
      <c r="C112" s="20"/>
      <c r="D112" s="47"/>
      <c r="E112" s="48"/>
      <c r="F112" s="29"/>
      <c r="G112" s="47"/>
      <c r="H112" s="29"/>
      <c r="I112" s="29"/>
      <c r="J112" s="29"/>
      <c r="K112" s="29"/>
      <c r="L112" s="29"/>
      <c r="M112" s="20"/>
      <c r="N112" s="20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46"/>
      <c r="B113" s="20"/>
      <c r="C113" s="20"/>
      <c r="D113" s="47"/>
      <c r="E113" s="48"/>
      <c r="F113" s="29"/>
      <c r="G113" s="47"/>
      <c r="H113" s="29"/>
      <c r="I113" s="29"/>
      <c r="J113" s="29"/>
      <c r="K113" s="29"/>
      <c r="L113" s="29"/>
      <c r="M113" s="20"/>
      <c r="N113" s="20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46"/>
      <c r="B114" s="20"/>
      <c r="C114" s="20"/>
      <c r="D114" s="47"/>
      <c r="E114" s="48"/>
      <c r="F114" s="29"/>
      <c r="G114" s="47"/>
      <c r="H114" s="29"/>
      <c r="I114" s="29"/>
      <c r="J114" s="29"/>
      <c r="K114" s="29"/>
      <c r="L114" s="29"/>
      <c r="M114" s="20"/>
      <c r="N114" s="20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46"/>
      <c r="B115" s="20"/>
      <c r="C115" s="20"/>
      <c r="D115" s="47"/>
      <c r="E115" s="48"/>
      <c r="F115" s="29"/>
      <c r="G115" s="47"/>
      <c r="H115" s="29"/>
      <c r="I115" s="29"/>
      <c r="J115" s="29"/>
      <c r="K115" s="29"/>
      <c r="L115" s="29"/>
      <c r="M115" s="20"/>
      <c r="N115" s="20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46"/>
      <c r="B116" s="20"/>
      <c r="C116" s="20"/>
      <c r="D116" s="47"/>
      <c r="E116" s="48"/>
      <c r="F116" s="29"/>
      <c r="G116" s="47"/>
      <c r="H116" s="29"/>
      <c r="I116" s="29"/>
      <c r="J116" s="29"/>
      <c r="K116" s="29"/>
      <c r="L116" s="29"/>
      <c r="M116" s="20"/>
      <c r="N116" s="20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46"/>
      <c r="B117" s="20"/>
      <c r="C117" s="20"/>
      <c r="D117" s="47"/>
      <c r="E117" s="48"/>
      <c r="F117" s="29"/>
      <c r="G117" s="47"/>
      <c r="H117" s="29"/>
      <c r="I117" s="29"/>
      <c r="J117" s="29"/>
      <c r="K117" s="29"/>
      <c r="L117" s="29"/>
      <c r="M117" s="20"/>
      <c r="N117" s="20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46"/>
      <c r="B118" s="20"/>
      <c r="C118" s="20"/>
      <c r="D118" s="47"/>
      <c r="E118" s="48"/>
      <c r="F118" s="29"/>
      <c r="G118" s="47"/>
      <c r="H118" s="29"/>
      <c r="I118" s="29"/>
      <c r="J118" s="29"/>
      <c r="K118" s="29"/>
      <c r="L118" s="29"/>
      <c r="M118" s="20"/>
      <c r="N118" s="20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46"/>
      <c r="B119" s="20"/>
      <c r="C119" s="20"/>
      <c r="D119" s="47"/>
      <c r="E119" s="48"/>
      <c r="F119" s="29"/>
      <c r="G119" s="47"/>
      <c r="H119" s="29"/>
      <c r="I119" s="29"/>
      <c r="J119" s="29"/>
      <c r="K119" s="29"/>
      <c r="L119" s="29"/>
      <c r="M119" s="20"/>
      <c r="N119" s="20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46"/>
      <c r="B120" s="20"/>
      <c r="C120" s="20"/>
      <c r="D120" s="47"/>
      <c r="E120" s="48"/>
      <c r="F120" s="29"/>
      <c r="G120" s="47"/>
      <c r="H120" s="29"/>
      <c r="I120" s="29"/>
      <c r="J120" s="29"/>
      <c r="K120" s="29"/>
      <c r="L120" s="29"/>
      <c r="M120" s="20"/>
      <c r="N120" s="20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46"/>
      <c r="B121" s="20"/>
      <c r="C121" s="20"/>
      <c r="D121" s="47"/>
      <c r="E121" s="48"/>
      <c r="F121" s="29"/>
      <c r="G121" s="47"/>
      <c r="H121" s="29"/>
      <c r="I121" s="29"/>
      <c r="J121" s="29"/>
      <c r="K121" s="29"/>
      <c r="L121" s="29"/>
      <c r="M121" s="20"/>
      <c r="N121" s="20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46"/>
      <c r="B122" s="20"/>
      <c r="C122" s="20"/>
      <c r="D122" s="47"/>
      <c r="E122" s="48"/>
      <c r="F122" s="29"/>
      <c r="G122" s="47"/>
      <c r="H122" s="29"/>
      <c r="I122" s="29"/>
      <c r="J122" s="29"/>
      <c r="K122" s="29"/>
      <c r="L122" s="29"/>
      <c r="M122" s="20"/>
      <c r="N122" s="20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46"/>
      <c r="B123" s="20"/>
      <c r="C123" s="20"/>
      <c r="D123" s="47"/>
      <c r="E123" s="48"/>
      <c r="F123" s="29"/>
      <c r="G123" s="47"/>
      <c r="H123" s="29"/>
      <c r="I123" s="29"/>
      <c r="J123" s="29"/>
      <c r="K123" s="29"/>
      <c r="L123" s="29"/>
      <c r="M123" s="20"/>
      <c r="N123" s="20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46"/>
      <c r="B124" s="20"/>
      <c r="C124" s="20"/>
      <c r="D124" s="47"/>
      <c r="E124" s="48"/>
      <c r="F124" s="29"/>
      <c r="G124" s="47"/>
      <c r="H124" s="29"/>
      <c r="I124" s="29"/>
      <c r="J124" s="29"/>
      <c r="K124" s="29"/>
      <c r="L124" s="29"/>
      <c r="M124" s="20"/>
      <c r="N124" s="20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46"/>
      <c r="B125" s="20"/>
      <c r="C125" s="20"/>
      <c r="D125" s="47"/>
      <c r="E125" s="48"/>
      <c r="F125" s="29"/>
      <c r="G125" s="47"/>
      <c r="H125" s="29"/>
      <c r="I125" s="29"/>
      <c r="J125" s="29"/>
      <c r="K125" s="29"/>
      <c r="L125" s="29"/>
      <c r="M125" s="20"/>
      <c r="N125" s="20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46"/>
      <c r="B126" s="20"/>
      <c r="C126" s="20"/>
      <c r="D126" s="47"/>
      <c r="E126" s="48"/>
      <c r="F126" s="29"/>
      <c r="G126" s="47"/>
      <c r="H126" s="29"/>
      <c r="I126" s="29"/>
      <c r="J126" s="29"/>
      <c r="K126" s="29"/>
      <c r="L126" s="29"/>
      <c r="M126" s="20"/>
      <c r="N126" s="20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46"/>
      <c r="B127" s="20"/>
      <c r="C127" s="20"/>
      <c r="D127" s="47"/>
      <c r="E127" s="48"/>
      <c r="F127" s="29"/>
      <c r="G127" s="47"/>
      <c r="H127" s="29"/>
      <c r="I127" s="29"/>
      <c r="J127" s="29"/>
      <c r="K127" s="29"/>
      <c r="L127" s="29"/>
      <c r="M127" s="20"/>
      <c r="N127" s="20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46"/>
      <c r="B128" s="20"/>
      <c r="C128" s="20"/>
      <c r="D128" s="47"/>
      <c r="E128" s="48"/>
      <c r="F128" s="29"/>
      <c r="G128" s="47"/>
      <c r="H128" s="29"/>
      <c r="I128" s="29"/>
      <c r="J128" s="29"/>
      <c r="K128" s="29"/>
      <c r="L128" s="29"/>
      <c r="M128" s="20"/>
      <c r="N128" s="20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46"/>
      <c r="B129" s="20"/>
      <c r="C129" s="20"/>
      <c r="D129" s="47"/>
      <c r="E129" s="48"/>
      <c r="F129" s="29"/>
      <c r="G129" s="47"/>
      <c r="H129" s="29"/>
      <c r="I129" s="29"/>
      <c r="J129" s="29"/>
      <c r="K129" s="29"/>
      <c r="L129" s="29"/>
      <c r="M129" s="20"/>
      <c r="N129" s="20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0" t="s">
        <v>151</v>
      </c>
      <c r="B130" s="20"/>
      <c r="C130" s="20"/>
      <c r="D130" s="70">
        <f>SUM(D3:D65)</f>
        <v>11441.6508</v>
      </c>
      <c r="E130" s="20"/>
      <c r="F130" s="29">
        <f>SUM(F3:F65)</f>
        <v>22762110.01</v>
      </c>
      <c r="G130" s="29"/>
      <c r="H130" s="29"/>
      <c r="I130" s="29"/>
      <c r="J130" s="29"/>
      <c r="K130" s="20"/>
      <c r="L130" s="29">
        <f>SUM(L3:L65)</f>
        <v>1835064.1</v>
      </c>
      <c r="M130" s="20"/>
      <c r="N130" s="20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0" t="s">
        <v>152</v>
      </c>
      <c r="B131" s="20"/>
      <c r="C131" s="20"/>
      <c r="D131" s="20"/>
      <c r="E131" s="29">
        <f>IFERROR(F130/D130,"")</f>
        <v>1989.407858</v>
      </c>
      <c r="F131" s="20"/>
      <c r="G131" s="20"/>
      <c r="H131" s="20"/>
      <c r="I131" s="20"/>
      <c r="J131" s="20"/>
      <c r="K131" s="29">
        <f>IFERROR(L130/D130,"")</f>
        <v>160.3845574</v>
      </c>
      <c r="L131" s="20"/>
      <c r="M131" s="20"/>
      <c r="N131" s="20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131"/>
  <mergeCells count="1">
    <mergeCell ref="A1:N1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2026-04-23T13:52:45Z</dcterms:created>
  <dc:creator>TSD Eng3</dc:creator>
</cp:coreProperties>
</file>